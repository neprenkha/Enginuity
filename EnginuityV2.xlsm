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8FC4BB59-02E5-42F3-A858-3AF9C8FBC585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2" i="38" l="1" a="1"/>
  <c r="P92" i="38" s="1"/>
  <c r="P93" i="38" a="1"/>
  <c r="P93" i="38" s="1"/>
  <c r="P94" i="38" a="1"/>
  <c r="P94" i="38" s="1"/>
  <c r="P95" i="38" a="1"/>
  <c r="P95" i="38" s="1"/>
  <c r="P96" i="38" a="1"/>
  <c r="P96" i="38" s="1"/>
  <c r="P97" i="38" a="1"/>
  <c r="P97" i="38" s="1"/>
  <c r="P98" i="38" a="1"/>
  <c r="P98" i="38" s="1"/>
  <c r="P99" i="38" a="1"/>
  <c r="P99" i="38" s="1"/>
  <c r="P100" i="38" a="1"/>
  <c r="P100" i="38" s="1"/>
  <c r="P101" i="38" a="1"/>
  <c r="P101" i="38" s="1"/>
  <c r="P102" i="38" a="1"/>
  <c r="P102" i="38" s="1"/>
  <c r="P103" i="38" a="1"/>
  <c r="P103" i="38" s="1"/>
  <c r="P104" i="38" a="1"/>
  <c r="P104" i="38" s="1"/>
  <c r="P105" i="38" a="1"/>
  <c r="P105" i="38" s="1"/>
  <c r="P106" i="38" a="1"/>
  <c r="P106" i="38" s="1"/>
  <c r="P107" i="38" a="1"/>
  <c r="P107" i="38" s="1"/>
  <c r="P108" i="38" a="1"/>
  <c r="P108" i="38" s="1"/>
  <c r="F91" i="38"/>
  <c r="W3" i="38" a="1"/>
  <c r="W3" i="38" s="1"/>
  <c r="W4" i="38" a="1"/>
  <c r="W4" i="38" s="1"/>
  <c r="W7" i="38" a="1"/>
  <c r="W7" i="38" s="1"/>
  <c r="W10" i="38" a="1"/>
  <c r="W10" i="38" s="1"/>
  <c r="W9" i="38" a="1"/>
  <c r="W9" i="38" s="1"/>
  <c r="W6" i="38" a="1"/>
  <c r="W6" i="38" s="1"/>
  <c r="W2" i="38" a="1"/>
  <c r="W2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W12" i="38" a="1"/>
  <c r="W12" i="38" s="1"/>
  <c r="W13" i="38" a="1"/>
  <c r="W13" i="38" s="1"/>
  <c r="W14" i="38" a="1"/>
  <c r="W14" i="38" s="1"/>
  <c r="W15" i="38" a="1"/>
  <c r="W1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B32" i="1" a="1"/>
  <c r="B32" i="1" s="1"/>
  <c r="B15" i="1" a="1"/>
  <c r="B15" i="1" s="1"/>
  <c r="Q105" i="38" a="1"/>
  <c r="Q105" i="38" s="1"/>
  <c r="Q106" i="38" a="1"/>
  <c r="Q106" i="38" s="1"/>
  <c r="Q103" i="38" a="1"/>
  <c r="Q103" i="38" s="1"/>
  <c r="Q104" i="38" a="1"/>
  <c r="Q104" i="38" s="1"/>
  <c r="T112" i="38"/>
  <c r="R112" i="38" s="1"/>
  <c r="Q94" i="38" a="1"/>
  <c r="Q94" i="38" s="1"/>
  <c r="W94" i="38" s="1" a="1"/>
  <c r="W94" i="38" s="1"/>
  <c r="Q95" i="38" a="1"/>
  <c r="Q95" i="38" s="1"/>
  <c r="G91" i="38"/>
  <c r="W106" i="38" l="1" a="1"/>
  <c r="W106" i="38" s="1"/>
  <c r="W105" i="38" a="1"/>
  <c r="W105" i="38" s="1"/>
  <c r="W108" i="38" a="1"/>
  <c r="W108" i="38" s="1"/>
  <c r="W95" i="38" a="1"/>
  <c r="W95" i="38" s="1"/>
  <c r="W107" i="38" a="1"/>
  <c r="W107" i="38" s="1"/>
  <c r="W104" i="38" a="1"/>
  <c r="W104" i="38" s="1"/>
  <c r="W103" i="38" a="1"/>
  <c r="W103" i="38" s="1"/>
  <c r="R6" i="38"/>
  <c r="R10" i="38"/>
  <c r="R9" i="38"/>
  <c r="R8" i="38"/>
  <c r="R7" i="38"/>
  <c r="B1" i="19"/>
  <c r="C1" i="19"/>
  <c r="D1" i="19"/>
  <c r="E1" i="19"/>
  <c r="A1" i="19"/>
  <c r="Q93" i="38" a="1"/>
  <c r="Q93" i="38" s="1"/>
  <c r="W93" i="38" s="1" a="1"/>
  <c r="W93" i="38" s="1"/>
  <c r="T92" i="38" a="1"/>
  <c r="T92" i="38" s="1"/>
  <c r="Q92" i="38" a="1"/>
  <c r="Q92" i="38" s="1"/>
  <c r="T91" i="38" a="1"/>
  <c r="T91" i="38" s="1"/>
  <c r="Q91" i="38" a="1"/>
  <c r="Q91" i="38" s="1"/>
  <c r="W91" i="38" l="1" a="1"/>
  <c r="W91" i="38" s="1"/>
  <c r="W92" i="38" a="1"/>
  <c r="W92" i="38" s="1"/>
  <c r="U120" i="38"/>
  <c r="T120" i="38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W102" i="38" s="1" a="1"/>
  <c r="W102" i="38" s="1"/>
  <c r="Q101" i="38" a="1"/>
  <c r="Q101" i="38" s="1"/>
  <c r="W101" i="38" s="1" a="1"/>
  <c r="W101" i="38" s="1"/>
  <c r="Q100" i="38" a="1"/>
  <c r="Q100" i="38" s="1"/>
  <c r="W100" i="38" s="1" a="1"/>
  <c r="W100" i="38" s="1"/>
  <c r="Q99" i="38" a="1"/>
  <c r="Q99" i="38" s="1"/>
  <c r="W99" i="38" s="1" a="1"/>
  <c r="W99" i="38" s="1"/>
  <c r="Q98" i="38" a="1"/>
  <c r="Q98" i="38" s="1"/>
  <c r="W98" i="38" s="1" a="1"/>
  <c r="W98" i="38" s="1"/>
  <c r="Q97" i="38" a="1"/>
  <c r="Q97" i="38" s="1"/>
  <c r="W97" i="38" s="1" a="1"/>
  <c r="W97" i="38" s="1"/>
  <c r="Q96" i="38" a="1"/>
  <c r="Q96" i="38" s="1"/>
  <c r="W96" i="38" s="1" a="1"/>
  <c r="W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D60" i="38"/>
  <c r="C60" i="38"/>
  <c r="B60" i="38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W88" i="38" l="1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3" i="38" a="1"/>
  <c r="W113" i="38" s="1"/>
  <c r="P113" i="38" s="1" a="1"/>
  <c r="P113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U210" i="38"/>
  <c r="T210" i="38" a="1"/>
  <c r="T210" i="38" s="1"/>
  <c r="W210" i="38" s="1" a="1"/>
  <c r="W210" i="38" s="1"/>
  <c r="Q210" i="38"/>
  <c r="U209" i="38"/>
  <c r="T209" i="38" a="1"/>
  <c r="T209" i="38" s="1"/>
  <c r="Q209" i="38"/>
  <c r="U208" i="38"/>
  <c r="T208" i="38" a="1"/>
  <c r="T208" i="38" s="1"/>
  <c r="Q208" i="38"/>
  <c r="U207" i="38"/>
  <c r="T207" i="38" a="1"/>
  <c r="T207" i="38" s="1"/>
  <c r="Q207" i="38"/>
  <c r="U206" i="38"/>
  <c r="T206" i="38" a="1"/>
  <c r="T206" i="38" s="1"/>
  <c r="R206" i="38" s="1"/>
  <c r="Q206" i="38"/>
  <c r="U205" i="38"/>
  <c r="T205" i="38" a="1"/>
  <c r="T205" i="38" s="1"/>
  <c r="R205" i="38" s="1"/>
  <c r="Q205" i="38"/>
  <c r="U204" i="38"/>
  <c r="T204" i="38" a="1"/>
  <c r="T204" i="38" s="1"/>
  <c r="R204" i="38" s="1"/>
  <c r="Q204" i="38"/>
  <c r="P202" i="38" a="1"/>
  <c r="P202" i="38" s="1"/>
  <c r="V201" i="38" a="1"/>
  <c r="V201" i="38" s="1"/>
  <c r="V200" i="38" a="1"/>
  <c r="V200" i="38" s="1"/>
  <c r="V199" i="38" a="1"/>
  <c r="V199" i="38" s="1"/>
  <c r="V198" i="38" a="1"/>
  <c r="V198" i="38" s="1"/>
  <c r="T197" i="38"/>
  <c r="R197" i="38" s="1"/>
  <c r="V196" i="38" a="1"/>
  <c r="V196" i="38" s="1"/>
  <c r="T196" i="38" a="1"/>
  <c r="T196" i="38" s="1"/>
  <c r="Q196" i="38" a="1"/>
  <c r="Q196" i="38" s="1"/>
  <c r="V195" i="38" a="1"/>
  <c r="V195" i="38" s="1"/>
  <c r="T195" i="38" a="1"/>
  <c r="T195" i="38" s="1"/>
  <c r="Q195" i="38" a="1"/>
  <c r="Q195" i="38" s="1"/>
  <c r="V194" i="38" a="1"/>
  <c r="V194" i="38" s="1"/>
  <c r="T194" i="38" a="1"/>
  <c r="T194" i="38" s="1"/>
  <c r="Q194" i="38" a="1"/>
  <c r="Q194" i="38" s="1"/>
  <c r="V193" i="38" a="1"/>
  <c r="V193" i="38" s="1"/>
  <c r="T193" i="38" a="1"/>
  <c r="T193" i="38" s="1"/>
  <c r="Q193" i="38" a="1"/>
  <c r="Q193" i="38" s="1"/>
  <c r="V192" i="38" a="1"/>
  <c r="V192" i="38" s="1"/>
  <c r="T192" i="38" a="1"/>
  <c r="T192" i="38" s="1"/>
  <c r="Q192" i="38" a="1"/>
  <c r="Q192" i="38" s="1"/>
  <c r="V191" i="38" a="1"/>
  <c r="V191" i="38" s="1"/>
  <c r="T191" i="38" a="1"/>
  <c r="T191" i="38" s="1"/>
  <c r="Q191" i="38" a="1"/>
  <c r="Q191" i="38" s="1"/>
  <c r="V190" i="38" a="1"/>
  <c r="V190" i="38" s="1"/>
  <c r="T190" i="38" a="1"/>
  <c r="T190" i="38" s="1"/>
  <c r="Q190" i="38" a="1"/>
  <c r="Q190" i="38" s="1"/>
  <c r="V189" i="38" a="1"/>
  <c r="V189" i="38" s="1"/>
  <c r="T189" i="38" a="1"/>
  <c r="T189" i="38" s="1"/>
  <c r="Q189" i="38" a="1"/>
  <c r="Q189" i="38" s="1"/>
  <c r="V188" i="38" a="1"/>
  <c r="V188" i="38" s="1"/>
  <c r="T188" i="38" a="1"/>
  <c r="T188" i="38" s="1"/>
  <c r="Q188" i="38" a="1"/>
  <c r="Q188" i="38" s="1"/>
  <c r="T187" i="38"/>
  <c r="Q187" i="38" a="1"/>
  <c r="Q187" i="38" s="1"/>
  <c r="Q186" i="38" a="1"/>
  <c r="Q186" i="38" s="1"/>
  <c r="W186" i="38" s="1" a="1"/>
  <c r="W186" i="38" s="1"/>
  <c r="Q185" i="38" a="1"/>
  <c r="Q185" i="38" s="1"/>
  <c r="W185" i="38" s="1" a="1"/>
  <c r="W185" i="38" s="1"/>
  <c r="P185" i="38" s="1" a="1"/>
  <c r="P185" i="38" s="1"/>
  <c r="T184" i="38" a="1"/>
  <c r="T184" i="38" s="1"/>
  <c r="Q184" i="38" a="1"/>
  <c r="Q184" i="38" s="1"/>
  <c r="T183" i="38" a="1"/>
  <c r="T183" i="38" s="1"/>
  <c r="Q183" i="38" a="1"/>
  <c r="Q183" i="38" s="1"/>
  <c r="T182" i="38" a="1"/>
  <c r="T182" i="38" s="1"/>
  <c r="Q182" i="38" a="1"/>
  <c r="Q182" i="38" s="1"/>
  <c r="T181" i="38" a="1"/>
  <c r="T181" i="38" s="1"/>
  <c r="Q181" i="38" a="1"/>
  <c r="Q181" i="38" s="1"/>
  <c r="G181" i="38"/>
  <c r="F181" i="38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W208" i="38" l="1" a="1"/>
  <c r="W208" i="38" s="1"/>
  <c r="W205" i="38" a="1"/>
  <c r="W205" i="38" s="1"/>
  <c r="W193" i="38" a="1"/>
  <c r="W193" i="38" s="1"/>
  <c r="P193" i="38" s="1" a="1"/>
  <c r="P193" i="38" s="1"/>
  <c r="W207" i="38" a="1"/>
  <c r="W207" i="38" s="1"/>
  <c r="W209" i="38" a="1"/>
  <c r="W209" i="38" s="1"/>
  <c r="W184" i="38" a="1"/>
  <c r="W184" i="38" s="1"/>
  <c r="P184" i="38" s="1" a="1"/>
  <c r="P184" i="38" s="1"/>
  <c r="W204" i="38" a="1"/>
  <c r="W204" i="38" s="1"/>
  <c r="W206" i="38" a="1"/>
  <c r="W206" i="38" s="1"/>
  <c r="W194" i="38" a="1"/>
  <c r="W194" i="38" s="1"/>
  <c r="P194" i="38" s="1" a="1"/>
  <c r="P194" i="38" s="1"/>
  <c r="W188" i="38" a="1"/>
  <c r="W188" i="38" s="1"/>
  <c r="P188" i="38" s="1" a="1"/>
  <c r="P188" i="38" s="1"/>
  <c r="W191" i="38" a="1"/>
  <c r="W191" i="38" s="1"/>
  <c r="P191" i="38" s="1" a="1"/>
  <c r="P191" i="38" s="1"/>
  <c r="W183" i="38" a="1"/>
  <c r="W183" i="38" s="1"/>
  <c r="W192" i="38" a="1"/>
  <c r="W192" i="38" s="1"/>
  <c r="P192" i="38" s="1" a="1"/>
  <c r="P192" i="38" s="1"/>
  <c r="W196" i="38" a="1"/>
  <c r="W196" i="38" s="1"/>
  <c r="P196" i="38" s="1" a="1"/>
  <c r="P196" i="38" s="1"/>
  <c r="W189" i="38" a="1"/>
  <c r="W189" i="38" s="1"/>
  <c r="P189" i="38" s="1" a="1"/>
  <c r="P189" i="38" s="1"/>
  <c r="W181" i="38" a="1"/>
  <c r="W181" i="38" s="1"/>
  <c r="W190" i="38" a="1"/>
  <c r="W190" i="38" s="1"/>
  <c r="P190" i="38" s="1" a="1"/>
  <c r="P190" i="38" s="1"/>
  <c r="W182" i="38" a="1"/>
  <c r="W182" i="38" s="1"/>
  <c r="W198" i="38" a="1"/>
  <c r="W198" i="38" s="1"/>
  <c r="P198" i="38" s="1" a="1"/>
  <c r="P198" i="38" s="1"/>
  <c r="W199" i="38" a="1"/>
  <c r="W199" i="38" s="1"/>
  <c r="P199" i="38" s="1" a="1"/>
  <c r="P199" i="38" s="1"/>
  <c r="W200" i="38" a="1"/>
  <c r="W200" i="38" s="1"/>
  <c r="P200" i="38" s="1" a="1"/>
  <c r="P200" i="38" s="1"/>
  <c r="W201" i="38" a="1"/>
  <c r="W201" i="38" s="1"/>
  <c r="P201" i="38" s="1" a="1"/>
  <c r="P201" i="38" s="1"/>
  <c r="W195" i="38" a="1"/>
  <c r="W195" i="38" s="1"/>
  <c r="P195" i="38" s="1" a="1"/>
  <c r="P195" i="38" s="1"/>
  <c r="L2" i="19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690" i="38"/>
  <c r="T690" i="38" a="1"/>
  <c r="T690" i="38" s="1"/>
  <c r="Q690" i="38"/>
  <c r="U689" i="38"/>
  <c r="T689" i="38" a="1"/>
  <c r="T689" i="38" s="1"/>
  <c r="Q689" i="38"/>
  <c r="U688" i="38"/>
  <c r="T688" i="38" a="1"/>
  <c r="T688" i="38" s="1"/>
  <c r="Q688" i="38"/>
  <c r="U687" i="38"/>
  <c r="T687" i="38" a="1"/>
  <c r="T687" i="38" s="1"/>
  <c r="Q687" i="38"/>
  <c r="U686" i="38"/>
  <c r="T686" i="38" a="1"/>
  <c r="T686" i="38" s="1"/>
  <c r="Q686" i="38"/>
  <c r="U685" i="38"/>
  <c r="T685" i="38" a="1"/>
  <c r="T685" i="38" s="1"/>
  <c r="R685" i="38" s="1"/>
  <c r="Q685" i="38"/>
  <c r="U684" i="38"/>
  <c r="T684" i="38" a="1"/>
  <c r="T684" i="38" s="1"/>
  <c r="Q684" i="38"/>
  <c r="U683" i="38"/>
  <c r="T683" i="38" a="1"/>
  <c r="T683" i="38" s="1"/>
  <c r="R683" i="38" s="1"/>
  <c r="Q683" i="38"/>
  <c r="P682" i="38" a="1"/>
  <c r="P682" i="38" s="1"/>
  <c r="V681" i="38" a="1"/>
  <c r="V681" i="38" s="1"/>
  <c r="V680" i="38" a="1"/>
  <c r="V680" i="38" s="1"/>
  <c r="V679" i="38" a="1"/>
  <c r="V679" i="38" s="1"/>
  <c r="V678" i="38" a="1"/>
  <c r="V678" i="38" s="1"/>
  <c r="T677" i="38"/>
  <c r="R677" i="38" s="1"/>
  <c r="V676" i="38" a="1"/>
  <c r="V676" i="38" s="1"/>
  <c r="T676" i="38" a="1"/>
  <c r="T676" i="38" s="1"/>
  <c r="Q676" i="38" a="1"/>
  <c r="Q676" i="38" s="1"/>
  <c r="V675" i="38" a="1"/>
  <c r="V675" i="38" s="1"/>
  <c r="T675" i="38" a="1"/>
  <c r="T675" i="38" s="1"/>
  <c r="Q675" i="38" a="1"/>
  <c r="Q675" i="38" s="1"/>
  <c r="V674" i="38" a="1"/>
  <c r="V674" i="38" s="1"/>
  <c r="T674" i="38" a="1"/>
  <c r="T674" i="38" s="1"/>
  <c r="Q674" i="38" a="1"/>
  <c r="Q674" i="38" s="1"/>
  <c r="V673" i="38" a="1"/>
  <c r="V673" i="38" s="1"/>
  <c r="T673" i="38" a="1"/>
  <c r="T673" i="38" s="1"/>
  <c r="Q673" i="38" a="1"/>
  <c r="Q673" i="38" s="1"/>
  <c r="V672" i="38" a="1"/>
  <c r="V672" i="38" s="1"/>
  <c r="T672" i="38" a="1"/>
  <c r="T672" i="38" s="1"/>
  <c r="Q672" i="38" a="1"/>
  <c r="Q672" i="38" s="1"/>
  <c r="V671" i="38" a="1"/>
  <c r="V671" i="38" s="1"/>
  <c r="T671" i="38" a="1"/>
  <c r="T671" i="38" s="1"/>
  <c r="Q671" i="38" a="1"/>
  <c r="Q671" i="38" s="1"/>
  <c r="V670" i="38" a="1"/>
  <c r="V670" i="38" s="1"/>
  <c r="T670" i="38" a="1"/>
  <c r="T670" i="38" s="1"/>
  <c r="Q670" i="38" a="1"/>
  <c r="Q670" i="38" s="1"/>
  <c r="V669" i="38" a="1"/>
  <c r="V669" i="38" s="1"/>
  <c r="T669" i="38" a="1"/>
  <c r="T669" i="38" s="1"/>
  <c r="Q669" i="38" a="1"/>
  <c r="Q669" i="38" s="1"/>
  <c r="V668" i="38" a="1"/>
  <c r="V668" i="38" s="1"/>
  <c r="T668" i="38" a="1"/>
  <c r="T668" i="38" s="1"/>
  <c r="Q668" i="38" a="1"/>
  <c r="Q668" i="38" s="1"/>
  <c r="V667" i="38" a="1"/>
  <c r="V667" i="38" s="1"/>
  <c r="T667" i="38" a="1"/>
  <c r="T667" i="38" s="1"/>
  <c r="Q667" i="38" a="1"/>
  <c r="Q667" i="38" s="1"/>
  <c r="T666" i="38" a="1"/>
  <c r="T666" i="38" s="1"/>
  <c r="R666" i="38"/>
  <c r="Q666" i="38" a="1"/>
  <c r="Q666" i="38" s="1"/>
  <c r="V665" i="38" a="1"/>
  <c r="V665" i="38" s="1"/>
  <c r="T665" i="38" a="1"/>
  <c r="T665" i="38" s="1"/>
  <c r="Q665" i="38" a="1"/>
  <c r="Q665" i="38" s="1"/>
  <c r="T664" i="38" a="1"/>
  <c r="T664" i="38" s="1"/>
  <c r="Q664" i="38" a="1"/>
  <c r="Q664" i="38" s="1"/>
  <c r="T663" i="38" a="1"/>
  <c r="T663" i="38" s="1"/>
  <c r="Q663" i="38" a="1"/>
  <c r="Q663" i="38" s="1"/>
  <c r="T662" i="38" a="1"/>
  <c r="T662" i="38" s="1"/>
  <c r="Q662" i="38" a="1"/>
  <c r="Q662" i="38" s="1"/>
  <c r="T661" i="38" a="1"/>
  <c r="T661" i="38" s="1"/>
  <c r="Q661" i="38" a="1"/>
  <c r="Q661" i="38" s="1"/>
  <c r="H661" i="38"/>
  <c r="G661" i="38"/>
  <c r="F661" i="38"/>
  <c r="U660" i="38"/>
  <c r="T660" i="38" a="1"/>
  <c r="T660" i="38" s="1"/>
  <c r="Q660" i="38"/>
  <c r="U659" i="38"/>
  <c r="T659" i="38" a="1"/>
  <c r="T659" i="38" s="1"/>
  <c r="Q659" i="38"/>
  <c r="U658" i="38"/>
  <c r="T658" i="38" a="1"/>
  <c r="T658" i="38" s="1"/>
  <c r="Q658" i="38"/>
  <c r="U657" i="38"/>
  <c r="T657" i="38" a="1"/>
  <c r="T657" i="38" s="1"/>
  <c r="Q657" i="38"/>
  <c r="U656" i="38"/>
  <c r="T656" i="38" a="1"/>
  <c r="T656" i="38" s="1"/>
  <c r="Q656" i="38"/>
  <c r="U655" i="38"/>
  <c r="T655" i="38" a="1"/>
  <c r="T655" i="38" s="1"/>
  <c r="R655" i="38" s="1"/>
  <c r="Q655" i="38"/>
  <c r="U654" i="38"/>
  <c r="T654" i="38" a="1"/>
  <c r="T654" i="38" s="1"/>
  <c r="R654" i="38" s="1"/>
  <c r="Q654" i="38"/>
  <c r="U653" i="38"/>
  <c r="T653" i="38" a="1"/>
  <c r="T653" i="38" s="1"/>
  <c r="R653" i="38" s="1"/>
  <c r="Q653" i="38"/>
  <c r="P652" i="38" a="1"/>
  <c r="P652" i="38" s="1"/>
  <c r="V651" i="38" a="1"/>
  <c r="V651" i="38" s="1"/>
  <c r="V650" i="38" a="1"/>
  <c r="V650" i="38" s="1"/>
  <c r="V649" i="38" a="1"/>
  <c r="V649" i="38" s="1"/>
  <c r="V648" i="38" a="1"/>
  <c r="V648" i="38" s="1"/>
  <c r="T647" i="38"/>
  <c r="R647" i="38" s="1"/>
  <c r="V646" i="38" a="1"/>
  <c r="V646" i="38" s="1"/>
  <c r="T646" i="38" a="1"/>
  <c r="T646" i="38" s="1"/>
  <c r="Q646" i="38" a="1"/>
  <c r="Q646" i="38" s="1"/>
  <c r="V645" i="38" a="1"/>
  <c r="V645" i="38" s="1"/>
  <c r="T645" i="38" a="1"/>
  <c r="T645" i="38" s="1"/>
  <c r="Q645" i="38" a="1"/>
  <c r="Q645" i="38" s="1"/>
  <c r="V644" i="38" a="1"/>
  <c r="V644" i="38" s="1"/>
  <c r="T644" i="38" a="1"/>
  <c r="T644" i="38" s="1"/>
  <c r="Q644" i="38" a="1"/>
  <c r="Q644" i="38" s="1"/>
  <c r="V643" i="38" a="1"/>
  <c r="V643" i="38" s="1"/>
  <c r="T643" i="38" a="1"/>
  <c r="T643" i="38" s="1"/>
  <c r="Q643" i="38" a="1"/>
  <c r="Q643" i="38" s="1"/>
  <c r="V642" i="38" a="1"/>
  <c r="V642" i="38" s="1"/>
  <c r="T642" i="38" a="1"/>
  <c r="T642" i="38" s="1"/>
  <c r="Q642" i="38" a="1"/>
  <c r="Q642" i="38" s="1"/>
  <c r="V641" i="38" a="1"/>
  <c r="V641" i="38" s="1"/>
  <c r="T641" i="38" a="1"/>
  <c r="T641" i="38" s="1"/>
  <c r="Q641" i="38" a="1"/>
  <c r="Q641" i="38" s="1"/>
  <c r="V640" i="38" a="1"/>
  <c r="V640" i="38" s="1"/>
  <c r="T640" i="38" a="1"/>
  <c r="T640" i="38" s="1"/>
  <c r="Q640" i="38" a="1"/>
  <c r="Q640" i="38" s="1"/>
  <c r="V639" i="38" a="1"/>
  <c r="V639" i="38" s="1"/>
  <c r="T639" i="38" a="1"/>
  <c r="T639" i="38" s="1"/>
  <c r="Q639" i="38" a="1"/>
  <c r="Q639" i="38" s="1"/>
  <c r="V638" i="38" a="1"/>
  <c r="V638" i="38" s="1"/>
  <c r="T638" i="38" a="1"/>
  <c r="T638" i="38" s="1"/>
  <c r="Q638" i="38" a="1"/>
  <c r="Q638" i="38" s="1"/>
  <c r="V637" i="38" a="1"/>
  <c r="V637" i="38" s="1"/>
  <c r="T637" i="38" a="1"/>
  <c r="T637" i="38" s="1"/>
  <c r="Q637" i="38" a="1"/>
  <c r="Q637" i="38" s="1"/>
  <c r="T636" i="38" a="1"/>
  <c r="T636" i="38" s="1"/>
  <c r="R636" i="38"/>
  <c r="Q636" i="38" a="1"/>
  <c r="Q636" i="38" s="1"/>
  <c r="V635" i="38" a="1"/>
  <c r="V635" i="38" s="1"/>
  <c r="T635" i="38" a="1"/>
  <c r="T635" i="38" s="1"/>
  <c r="Q635" i="38" a="1"/>
  <c r="Q635" i="38" s="1"/>
  <c r="T634" i="38" a="1"/>
  <c r="T634" i="38" s="1"/>
  <c r="Q634" i="38" a="1"/>
  <c r="Q634" i="38" s="1"/>
  <c r="T633" i="38" a="1"/>
  <c r="T633" i="38" s="1"/>
  <c r="Q633" i="38" a="1"/>
  <c r="Q633" i="38" s="1"/>
  <c r="T632" i="38" a="1"/>
  <c r="T632" i="38" s="1"/>
  <c r="Q632" i="38" a="1"/>
  <c r="Q632" i="38" s="1"/>
  <c r="T631" i="38" a="1"/>
  <c r="T631" i="38" s="1"/>
  <c r="Q631" i="38" a="1"/>
  <c r="Q631" i="38" s="1"/>
  <c r="H631" i="38"/>
  <c r="G631" i="38"/>
  <c r="F631" i="38"/>
  <c r="U630" i="38"/>
  <c r="T630" i="38" a="1"/>
  <c r="T630" i="38" s="1"/>
  <c r="Q630" i="38"/>
  <c r="U629" i="38"/>
  <c r="T629" i="38" a="1"/>
  <c r="T629" i="38" s="1"/>
  <c r="W629" i="38" s="1" a="1"/>
  <c r="W629" i="38" s="1"/>
  <c r="Q629" i="38"/>
  <c r="U628" i="38"/>
  <c r="T628" i="38" a="1"/>
  <c r="T628" i="38" s="1"/>
  <c r="Q628" i="38"/>
  <c r="U627" i="38"/>
  <c r="T627" i="38" a="1"/>
  <c r="T627" i="38" s="1"/>
  <c r="Q627" i="38"/>
  <c r="U626" i="38"/>
  <c r="T626" i="38" a="1"/>
  <c r="T626" i="38" s="1"/>
  <c r="R626" i="38" s="1"/>
  <c r="Q626" i="38"/>
  <c r="U625" i="38"/>
  <c r="T625" i="38" a="1"/>
  <c r="T625" i="38" s="1"/>
  <c r="R625" i="38" s="1"/>
  <c r="Q625" i="38"/>
  <c r="U624" i="38"/>
  <c r="T624" i="38" a="1"/>
  <c r="T624" i="38" s="1"/>
  <c r="R624" i="38" s="1"/>
  <c r="Q624" i="38"/>
  <c r="U623" i="38"/>
  <c r="T623" i="38" a="1"/>
  <c r="T623" i="38" s="1"/>
  <c r="R623" i="38" s="1"/>
  <c r="Q623" i="38"/>
  <c r="P622" i="38" a="1"/>
  <c r="P622" i="38" s="1"/>
  <c r="V621" i="38" a="1"/>
  <c r="V621" i="38" s="1"/>
  <c r="V620" i="38" a="1"/>
  <c r="V620" i="38" s="1"/>
  <c r="V619" i="38" a="1"/>
  <c r="V619" i="38" s="1"/>
  <c r="V618" i="38" a="1"/>
  <c r="V618" i="38" s="1"/>
  <c r="T617" i="38"/>
  <c r="R617" i="38" s="1"/>
  <c r="V616" i="38" a="1"/>
  <c r="V616" i="38" s="1"/>
  <c r="T616" i="38" a="1"/>
  <c r="T616" i="38" s="1"/>
  <c r="Q616" i="38" a="1"/>
  <c r="Q616" i="38" s="1"/>
  <c r="V615" i="38" a="1"/>
  <c r="V615" i="38" s="1"/>
  <c r="T615" i="38" a="1"/>
  <c r="T615" i="38" s="1"/>
  <c r="Q615" i="38" a="1"/>
  <c r="Q615" i="38" s="1"/>
  <c r="V614" i="38" a="1"/>
  <c r="V614" i="38" s="1"/>
  <c r="T614" i="38" a="1"/>
  <c r="T614" i="38" s="1"/>
  <c r="Q614" i="38" a="1"/>
  <c r="Q614" i="38" s="1"/>
  <c r="V613" i="38" a="1"/>
  <c r="V613" i="38" s="1"/>
  <c r="T613" i="38" a="1"/>
  <c r="T613" i="38" s="1"/>
  <c r="Q613" i="38" a="1"/>
  <c r="Q613" i="38" s="1"/>
  <c r="V612" i="38" a="1"/>
  <c r="V612" i="38" s="1"/>
  <c r="T612" i="38" a="1"/>
  <c r="T612" i="38" s="1"/>
  <c r="Q612" i="38" a="1"/>
  <c r="Q612" i="38" s="1"/>
  <c r="V611" i="38" a="1"/>
  <c r="V611" i="38" s="1"/>
  <c r="T611" i="38" a="1"/>
  <c r="T611" i="38" s="1"/>
  <c r="Q611" i="38" a="1"/>
  <c r="Q611" i="38" s="1"/>
  <c r="V610" i="38" a="1"/>
  <c r="V610" i="38" s="1"/>
  <c r="T610" i="38" a="1"/>
  <c r="T610" i="38" s="1"/>
  <c r="Q610" i="38" a="1"/>
  <c r="Q610" i="38" s="1"/>
  <c r="V609" i="38" a="1"/>
  <c r="V609" i="38" s="1"/>
  <c r="T609" i="38" a="1"/>
  <c r="T609" i="38" s="1"/>
  <c r="Q609" i="38" a="1"/>
  <c r="Q609" i="38" s="1"/>
  <c r="V608" i="38" a="1"/>
  <c r="V608" i="38" s="1"/>
  <c r="T608" i="38" a="1"/>
  <c r="T608" i="38" s="1"/>
  <c r="Q608" i="38" a="1"/>
  <c r="Q608" i="38" s="1"/>
  <c r="V607" i="38" a="1"/>
  <c r="V607" i="38" s="1"/>
  <c r="T607" i="38" a="1"/>
  <c r="T607" i="38" s="1"/>
  <c r="Q607" i="38" a="1"/>
  <c r="Q607" i="38" s="1"/>
  <c r="T606" i="38" a="1"/>
  <c r="T606" i="38" s="1"/>
  <c r="R606" i="38"/>
  <c r="Q606" i="38" a="1"/>
  <c r="Q606" i="38" s="1"/>
  <c r="V605" i="38" a="1"/>
  <c r="V605" i="38" s="1"/>
  <c r="T605" i="38" a="1"/>
  <c r="T605" i="38" s="1"/>
  <c r="Q605" i="38" a="1"/>
  <c r="Q605" i="38" s="1"/>
  <c r="T604" i="38" a="1"/>
  <c r="T604" i="38" s="1"/>
  <c r="Q604" i="38" a="1"/>
  <c r="Q604" i="38" s="1"/>
  <c r="T603" i="38" a="1"/>
  <c r="T603" i="38" s="1"/>
  <c r="Q603" i="38" a="1"/>
  <c r="Q603" i="38" s="1"/>
  <c r="T602" i="38" a="1"/>
  <c r="T602" i="38" s="1"/>
  <c r="Q602" i="38" a="1"/>
  <c r="Q602" i="38" s="1"/>
  <c r="T601" i="38" a="1"/>
  <c r="T601" i="38" s="1"/>
  <c r="Q601" i="38" a="1"/>
  <c r="Q601" i="38" s="1"/>
  <c r="H601" i="38"/>
  <c r="G601" i="38"/>
  <c r="F601" i="38"/>
  <c r="U600" i="38"/>
  <c r="T600" i="38" a="1"/>
  <c r="T600" i="38" s="1"/>
  <c r="Q600" i="38"/>
  <c r="U599" i="38"/>
  <c r="T599" i="38" a="1"/>
  <c r="T599" i="38" s="1"/>
  <c r="Q599" i="38"/>
  <c r="U598" i="38"/>
  <c r="T598" i="38" a="1"/>
  <c r="T598" i="38" s="1"/>
  <c r="Q598" i="38"/>
  <c r="U597" i="38"/>
  <c r="T597" i="38" a="1"/>
  <c r="T597" i="38" s="1"/>
  <c r="Q597" i="38"/>
  <c r="U596" i="38"/>
  <c r="T596" i="38" a="1"/>
  <c r="T596" i="38" s="1"/>
  <c r="R596" i="38" s="1"/>
  <c r="Q596" i="38"/>
  <c r="U595" i="38"/>
  <c r="T595" i="38" a="1"/>
  <c r="T595" i="38" s="1"/>
  <c r="Q595" i="38"/>
  <c r="U594" i="38"/>
  <c r="T594" i="38" a="1"/>
  <c r="T594" i="38" s="1"/>
  <c r="Q594" i="38"/>
  <c r="U593" i="38"/>
  <c r="T593" i="38" a="1"/>
  <c r="T593" i="38" s="1"/>
  <c r="Q593" i="38"/>
  <c r="P592" i="38" a="1"/>
  <c r="P592" i="38" s="1"/>
  <c r="V591" i="38" a="1"/>
  <c r="V591" i="38" s="1"/>
  <c r="V590" i="38" a="1"/>
  <c r="V590" i="38" s="1"/>
  <c r="V589" i="38" a="1"/>
  <c r="V589" i="38" s="1"/>
  <c r="V588" i="38" a="1"/>
  <c r="V588" i="38" s="1"/>
  <c r="T587" i="38"/>
  <c r="R587" i="38" s="1"/>
  <c r="V586" i="38" a="1"/>
  <c r="V586" i="38" s="1"/>
  <c r="T586" i="38" a="1"/>
  <c r="T586" i="38" s="1"/>
  <c r="Q586" i="38" a="1"/>
  <c r="Q586" i="38" s="1"/>
  <c r="V585" i="38" a="1"/>
  <c r="V585" i="38" s="1"/>
  <c r="T585" i="38" a="1"/>
  <c r="T585" i="38" s="1"/>
  <c r="Q585" i="38" a="1"/>
  <c r="Q585" i="38" s="1"/>
  <c r="V584" i="38" a="1"/>
  <c r="V584" i="38" s="1"/>
  <c r="T584" i="38" a="1"/>
  <c r="T584" i="38" s="1"/>
  <c r="Q584" i="38" a="1"/>
  <c r="Q584" i="38" s="1"/>
  <c r="V583" i="38" a="1"/>
  <c r="V583" i="38" s="1"/>
  <c r="T583" i="38" a="1"/>
  <c r="T583" i="38" s="1"/>
  <c r="Q583" i="38" a="1"/>
  <c r="Q583" i="38" s="1"/>
  <c r="V582" i="38" a="1"/>
  <c r="V582" i="38" s="1"/>
  <c r="T582" i="38" a="1"/>
  <c r="T582" i="38" s="1"/>
  <c r="Q582" i="38" a="1"/>
  <c r="Q582" i="38" s="1"/>
  <c r="V581" i="38" a="1"/>
  <c r="V581" i="38" s="1"/>
  <c r="T581" i="38" a="1"/>
  <c r="T581" i="38" s="1"/>
  <c r="Q581" i="38" a="1"/>
  <c r="Q581" i="38" s="1"/>
  <c r="V580" i="38" a="1"/>
  <c r="V580" i="38" s="1"/>
  <c r="T580" i="38" a="1"/>
  <c r="T580" i="38" s="1"/>
  <c r="Q580" i="38" a="1"/>
  <c r="Q580" i="38" s="1"/>
  <c r="V579" i="38" a="1"/>
  <c r="V579" i="38" s="1"/>
  <c r="T579" i="38" a="1"/>
  <c r="T579" i="38" s="1"/>
  <c r="Q579" i="38" a="1"/>
  <c r="Q579" i="38" s="1"/>
  <c r="V578" i="38" a="1"/>
  <c r="V578" i="38" s="1"/>
  <c r="T578" i="38" a="1"/>
  <c r="T578" i="38" s="1"/>
  <c r="Q578" i="38" a="1"/>
  <c r="Q578" i="38" s="1"/>
  <c r="V577" i="38" a="1"/>
  <c r="V577" i="38" s="1"/>
  <c r="T577" i="38" a="1"/>
  <c r="T577" i="38" s="1"/>
  <c r="Q577" i="38" a="1"/>
  <c r="Q577" i="38" s="1"/>
  <c r="T576" i="38" a="1"/>
  <c r="T576" i="38" s="1"/>
  <c r="R576" i="38"/>
  <c r="Q576" i="38" a="1"/>
  <c r="Q576" i="38" s="1"/>
  <c r="V575" i="38" a="1"/>
  <c r="V575" i="38" s="1"/>
  <c r="T575" i="38" a="1"/>
  <c r="T575" i="38" s="1"/>
  <c r="Q575" i="38" a="1"/>
  <c r="Q575" i="38" s="1"/>
  <c r="T574" i="38" a="1"/>
  <c r="T574" i="38" s="1"/>
  <c r="Q574" i="38" a="1"/>
  <c r="Q574" i="38" s="1"/>
  <c r="T573" i="38" a="1"/>
  <c r="T573" i="38" s="1"/>
  <c r="Q573" i="38" a="1"/>
  <c r="Q573" i="38" s="1"/>
  <c r="T572" i="38" a="1"/>
  <c r="T572" i="38" s="1"/>
  <c r="Q572" i="38" a="1"/>
  <c r="Q572" i="38" s="1"/>
  <c r="T571" i="38" a="1"/>
  <c r="T571" i="38" s="1"/>
  <c r="Q571" i="38" a="1"/>
  <c r="Q571" i="38" s="1"/>
  <c r="H571" i="38"/>
  <c r="G571" i="38"/>
  <c r="F571" i="38"/>
  <c r="U570" i="38"/>
  <c r="T570" i="38" a="1"/>
  <c r="T570" i="38" s="1"/>
  <c r="Q570" i="38"/>
  <c r="U569" i="38"/>
  <c r="T569" i="38" a="1"/>
  <c r="T569" i="38" s="1"/>
  <c r="Q569" i="38"/>
  <c r="U568" i="38"/>
  <c r="T568" i="38" a="1"/>
  <c r="T568" i="38" s="1"/>
  <c r="Q568" i="38"/>
  <c r="U567" i="38"/>
  <c r="T567" i="38" a="1"/>
  <c r="T567" i="38" s="1"/>
  <c r="W567" i="38" s="1" a="1"/>
  <c r="W567" i="38" s="1"/>
  <c r="Q567" i="38"/>
  <c r="U566" i="38"/>
  <c r="T566" i="38" a="1"/>
  <c r="T566" i="38" s="1"/>
  <c r="Q566" i="38"/>
  <c r="U565" i="38"/>
  <c r="T565" i="38" a="1"/>
  <c r="T565" i="38" s="1"/>
  <c r="Q565" i="38"/>
  <c r="U564" i="38"/>
  <c r="T564" i="38" a="1"/>
  <c r="T564" i="38" s="1"/>
  <c r="R564" i="38" s="1"/>
  <c r="Q564" i="38"/>
  <c r="U563" i="38"/>
  <c r="T563" i="38" a="1"/>
  <c r="T563" i="38" s="1"/>
  <c r="R563" i="38" s="1"/>
  <c r="Q563" i="38"/>
  <c r="P562" i="38" a="1"/>
  <c r="P562" i="38" s="1"/>
  <c r="V561" i="38" a="1"/>
  <c r="V561" i="38" s="1"/>
  <c r="V560" i="38" a="1"/>
  <c r="V560" i="38" s="1"/>
  <c r="V559" i="38" a="1"/>
  <c r="V559" i="38" s="1"/>
  <c r="V558" i="38" a="1"/>
  <c r="V558" i="38" s="1"/>
  <c r="T557" i="38"/>
  <c r="R557" i="38" s="1"/>
  <c r="V556" i="38" a="1"/>
  <c r="V556" i="38" s="1"/>
  <c r="T556" i="38" a="1"/>
  <c r="T556" i="38" s="1"/>
  <c r="Q556" i="38" a="1"/>
  <c r="Q556" i="38" s="1"/>
  <c r="V555" i="38" a="1"/>
  <c r="V555" i="38" s="1"/>
  <c r="T555" i="38" a="1"/>
  <c r="T555" i="38" s="1"/>
  <c r="Q555" i="38" a="1"/>
  <c r="Q555" i="38" s="1"/>
  <c r="V554" i="38" a="1"/>
  <c r="V554" i="38" s="1"/>
  <c r="T554" i="38" a="1"/>
  <c r="T554" i="38" s="1"/>
  <c r="Q554" i="38" a="1"/>
  <c r="Q554" i="38" s="1"/>
  <c r="V553" i="38" a="1"/>
  <c r="V553" i="38" s="1"/>
  <c r="T553" i="38" a="1"/>
  <c r="T553" i="38" s="1"/>
  <c r="Q553" i="38" a="1"/>
  <c r="Q553" i="38" s="1"/>
  <c r="V552" i="38" a="1"/>
  <c r="V552" i="38" s="1"/>
  <c r="T552" i="38" a="1"/>
  <c r="T552" i="38" s="1"/>
  <c r="Q552" i="38" a="1"/>
  <c r="Q552" i="38" s="1"/>
  <c r="V551" i="38" a="1"/>
  <c r="V551" i="38" s="1"/>
  <c r="T551" i="38" a="1"/>
  <c r="T551" i="38" s="1"/>
  <c r="Q551" i="38" a="1"/>
  <c r="Q551" i="38" s="1"/>
  <c r="V550" i="38" a="1"/>
  <c r="V550" i="38" s="1"/>
  <c r="T550" i="38" a="1"/>
  <c r="T550" i="38" s="1"/>
  <c r="Q550" i="38" a="1"/>
  <c r="Q550" i="38" s="1"/>
  <c r="V549" i="38" a="1"/>
  <c r="V549" i="38" s="1"/>
  <c r="T549" i="38" a="1"/>
  <c r="T549" i="38" s="1"/>
  <c r="Q549" i="38" a="1"/>
  <c r="Q549" i="38" s="1"/>
  <c r="V548" i="38" a="1"/>
  <c r="V548" i="38" s="1"/>
  <c r="T548" i="38" a="1"/>
  <c r="T548" i="38" s="1"/>
  <c r="Q548" i="38" a="1"/>
  <c r="Q548" i="38" s="1"/>
  <c r="V547" i="38" a="1"/>
  <c r="V547" i="38" s="1"/>
  <c r="T547" i="38" a="1"/>
  <c r="T547" i="38" s="1"/>
  <c r="Q547" i="38" a="1"/>
  <c r="Q547" i="38" s="1"/>
  <c r="T546" i="38" a="1"/>
  <c r="T546" i="38" s="1"/>
  <c r="R546" i="38"/>
  <c r="Q546" i="38" a="1"/>
  <c r="Q546" i="38" s="1"/>
  <c r="V545" i="38" a="1"/>
  <c r="V545" i="38" s="1"/>
  <c r="T545" i="38" a="1"/>
  <c r="T545" i="38" s="1"/>
  <c r="Q545" i="38" a="1"/>
  <c r="Q545" i="38" s="1"/>
  <c r="T544" i="38" a="1"/>
  <c r="T544" i="38" s="1"/>
  <c r="Q544" i="38" a="1"/>
  <c r="Q544" i="38" s="1"/>
  <c r="T543" i="38" a="1"/>
  <c r="T543" i="38" s="1"/>
  <c r="Q543" i="38" a="1"/>
  <c r="Q543" i="38" s="1"/>
  <c r="T542" i="38" a="1"/>
  <c r="T542" i="38" s="1"/>
  <c r="Q542" i="38" a="1"/>
  <c r="Q542" i="38" s="1"/>
  <c r="T541" i="38" a="1"/>
  <c r="T541" i="38" s="1"/>
  <c r="Q541" i="38" a="1"/>
  <c r="Q541" i="38" s="1"/>
  <c r="H541" i="38"/>
  <c r="G541" i="38"/>
  <c r="F54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K23" i="36"/>
  <c r="K24" i="36"/>
  <c r="K25" i="36"/>
  <c r="K26" i="36"/>
  <c r="J23" i="36"/>
  <c r="J24" i="36"/>
  <c r="J25" i="36"/>
  <c r="J26" i="36"/>
  <c r="I23" i="36"/>
  <c r="I24" i="36"/>
  <c r="I25" i="36"/>
  <c r="I26" i="36"/>
  <c r="H23" i="36"/>
  <c r="H24" i="36"/>
  <c r="H25" i="36"/>
  <c r="H26" i="36"/>
  <c r="U3" i="38"/>
  <c r="W687" i="38" l="1" a="1"/>
  <c r="W687" i="38" s="1"/>
  <c r="W688" i="38" a="1"/>
  <c r="W688" i="38" s="1"/>
  <c r="W539" i="38" a="1"/>
  <c r="W539" i="38" s="1"/>
  <c r="W600" i="38" a="1"/>
  <c r="W600" i="38" s="1"/>
  <c r="W689" i="38" a="1"/>
  <c r="W68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658" i="38" a="1"/>
  <c r="W658" i="38" s="1"/>
  <c r="W660" i="38" a="1"/>
  <c r="W660" i="38" s="1"/>
  <c r="W659" i="38" a="1"/>
  <c r="W659" i="38" s="1"/>
  <c r="W509" i="38" a="1"/>
  <c r="W509" i="38" s="1"/>
  <c r="W570" i="38" a="1"/>
  <c r="W570" i="38" s="1"/>
  <c r="W598" i="38" a="1"/>
  <c r="W598" i="38" s="1"/>
  <c r="W657" i="38" a="1"/>
  <c r="W657" i="38" s="1"/>
  <c r="W419" i="38" a="1"/>
  <c r="W419" i="38" s="1"/>
  <c r="W627" i="38" a="1"/>
  <c r="W627" i="38" s="1"/>
  <c r="W690" i="38" a="1"/>
  <c r="W690" i="38" s="1"/>
  <c r="W630" i="38" a="1"/>
  <c r="W630" i="38" s="1"/>
  <c r="W668" i="38" a="1"/>
  <c r="W668" i="38" s="1"/>
  <c r="P668" i="38" s="1" a="1"/>
  <c r="P668" i="38" s="1"/>
  <c r="W394" i="38" a="1"/>
  <c r="W394" i="38" s="1"/>
  <c r="P394" i="38" s="1" a="1"/>
  <c r="P394" i="38" s="1"/>
  <c r="G2" i="19"/>
  <c r="W187" i="38" s="1" a="1"/>
  <c r="W187" i="38" s="1"/>
  <c r="W662" i="38" a="1"/>
  <c r="W662" i="38" s="1"/>
  <c r="W632" i="38" a="1"/>
  <c r="W632" i="38" s="1"/>
  <c r="W683" i="38" a="1"/>
  <c r="W683" i="38" s="1"/>
  <c r="W635" i="38" a="1"/>
  <c r="W635" i="38" s="1"/>
  <c r="P635" i="38" s="1" a="1"/>
  <c r="P635" i="38" s="1"/>
  <c r="W670" i="38" a="1"/>
  <c r="W670" i="38" s="1"/>
  <c r="P670" i="38" s="1" a="1"/>
  <c r="P670" i="38" s="1"/>
  <c r="W585" i="38" a="1"/>
  <c r="W585" i="38" s="1"/>
  <c r="P585" i="38" s="1" a="1"/>
  <c r="P585" i="38" s="1"/>
  <c r="W671" i="38" a="1"/>
  <c r="W671" i="38" s="1"/>
  <c r="P671" i="38" s="1" a="1"/>
  <c r="P671" i="38" s="1"/>
  <c r="W672" i="38" a="1"/>
  <c r="W672" i="38" s="1"/>
  <c r="P672" i="38" s="1" a="1"/>
  <c r="P672" i="38" s="1"/>
  <c r="W581" i="38" a="1"/>
  <c r="W581" i="38" s="1"/>
  <c r="P581" i="38" s="1" a="1"/>
  <c r="P581" i="38" s="1"/>
  <c r="W675" i="38" a="1"/>
  <c r="W675" i="38" s="1"/>
  <c r="P675" i="38" s="1" a="1"/>
  <c r="P675" i="38" s="1"/>
  <c r="W667" i="38" a="1"/>
  <c r="W667" i="38" s="1"/>
  <c r="P667" i="38" s="1" a="1"/>
  <c r="P667" i="38" s="1"/>
  <c r="W631" i="38" a="1"/>
  <c r="W631" i="38" s="1"/>
  <c r="W646" i="38" a="1"/>
  <c r="W646" i="38" s="1"/>
  <c r="P646" i="38" s="1" a="1"/>
  <c r="P646" i="38" s="1"/>
  <c r="W661" i="38" a="1"/>
  <c r="W661" i="38" s="1"/>
  <c r="W663" i="38" a="1"/>
  <c r="W663" i="38" s="1"/>
  <c r="W664" i="38" a="1"/>
  <c r="W664" i="38" s="1"/>
  <c r="W596" i="38" a="1"/>
  <c r="W596" i="38" s="1"/>
  <c r="W607" i="38" a="1"/>
  <c r="W607" i="38" s="1"/>
  <c r="P607" i="38" s="1" a="1"/>
  <c r="P607" i="38" s="1"/>
  <c r="W669" i="38" a="1"/>
  <c r="W669" i="38" s="1"/>
  <c r="P669" i="38" s="1" a="1"/>
  <c r="P669" i="38" s="1"/>
  <c r="W638" i="38" a="1"/>
  <c r="W638" i="38" s="1"/>
  <c r="P638" i="38" s="1" a="1"/>
  <c r="P638" i="38" s="1"/>
  <c r="W583" i="38" a="1"/>
  <c r="W583" i="38" s="1"/>
  <c r="P583" i="38" s="1" a="1"/>
  <c r="P583" i="38" s="1"/>
  <c r="W653" i="38" a="1"/>
  <c r="W653" i="38" s="1"/>
  <c r="W640" i="38" a="1"/>
  <c r="W640" i="38" s="1"/>
  <c r="P640" i="38" s="1" a="1"/>
  <c r="P640" i="38" s="1"/>
  <c r="W685" i="38" a="1"/>
  <c r="W685" i="38" s="1"/>
  <c r="W517" i="38" a="1"/>
  <c r="W517" i="38" s="1"/>
  <c r="P517" i="38" s="1" a="1"/>
  <c r="P517" i="38" s="1"/>
  <c r="W673" i="38" a="1"/>
  <c r="W673" i="38" s="1"/>
  <c r="P673" i="38" s="1" a="1"/>
  <c r="P673" i="38" s="1"/>
  <c r="W643" i="38" a="1"/>
  <c r="W643" i="38" s="1"/>
  <c r="P643" i="38" s="1" a="1"/>
  <c r="P643" i="38" s="1"/>
  <c r="W577" i="38" a="1"/>
  <c r="W577" i="38" s="1"/>
  <c r="P577" i="38" s="1" a="1"/>
  <c r="P577" i="38" s="1"/>
  <c r="W633" i="38" a="1"/>
  <c r="W633" i="38" s="1"/>
  <c r="W645" i="38" a="1"/>
  <c r="W645" i="38" s="1"/>
  <c r="P645" i="38" s="1" a="1"/>
  <c r="P645" i="38" s="1"/>
  <c r="W676" i="38" a="1"/>
  <c r="W676" i="38" s="1"/>
  <c r="P676" i="38" s="1" a="1"/>
  <c r="P676" i="38" s="1"/>
  <c r="W579" i="38" a="1"/>
  <c r="W579" i="38" s="1"/>
  <c r="P579" i="38" s="1" a="1"/>
  <c r="P579" i="38" s="1"/>
  <c r="W678" i="38" a="1"/>
  <c r="W678" i="38" s="1"/>
  <c r="P678" i="38" s="1" a="1"/>
  <c r="P678" i="38" s="1"/>
  <c r="W679" i="38" a="1"/>
  <c r="W679" i="38" s="1"/>
  <c r="P679" i="38" s="1" a="1"/>
  <c r="P679" i="38" s="1"/>
  <c r="W680" i="38" a="1"/>
  <c r="W680" i="38" s="1"/>
  <c r="P680" i="38" s="1" a="1"/>
  <c r="P680" i="38" s="1"/>
  <c r="W681" i="38" a="1"/>
  <c r="W681" i="38" s="1"/>
  <c r="P681" i="38" s="1" a="1"/>
  <c r="P681" i="38" s="1"/>
  <c r="W684" i="38" a="1"/>
  <c r="W684" i="38" s="1"/>
  <c r="R684" i="38"/>
  <c r="W686" i="38" a="1"/>
  <c r="W686" i="38" s="1"/>
  <c r="R686" i="38"/>
  <c r="W674" i="38" a="1"/>
  <c r="W674" i="38" s="1"/>
  <c r="P674" i="38" s="1" a="1"/>
  <c r="P674" i="38" s="1"/>
  <c r="W665" i="38" a="1"/>
  <c r="W665" i="38" s="1"/>
  <c r="P665" i="38" s="1" a="1"/>
  <c r="P665" i="38" s="1"/>
  <c r="W642" i="38" a="1"/>
  <c r="W642" i="38" s="1"/>
  <c r="P642" i="38" s="1" a="1"/>
  <c r="P642" i="38" s="1"/>
  <c r="W625" i="38" a="1"/>
  <c r="W625" i="38" s="1"/>
  <c r="W644" i="38" a="1"/>
  <c r="W644" i="38" s="1"/>
  <c r="P644" i="38" s="1" a="1"/>
  <c r="P644" i="38" s="1"/>
  <c r="W615" i="38" a="1"/>
  <c r="W615" i="38" s="1"/>
  <c r="P615" i="38" s="1" a="1"/>
  <c r="P615" i="38" s="1"/>
  <c r="W637" i="38" a="1"/>
  <c r="W637" i="38" s="1"/>
  <c r="P637" i="38" s="1" a="1"/>
  <c r="P637" i="38" s="1"/>
  <c r="W616" i="38" a="1"/>
  <c r="W616" i="38" s="1"/>
  <c r="P616" i="38" s="1" a="1"/>
  <c r="P616" i="38" s="1"/>
  <c r="W639" i="38" a="1"/>
  <c r="W639" i="38" s="1"/>
  <c r="P639" i="38" s="1" a="1"/>
  <c r="P639" i="38" s="1"/>
  <c r="W634" i="38" a="1"/>
  <c r="W634" i="38" s="1"/>
  <c r="W599" i="38" a="1"/>
  <c r="W599" i="38" s="1"/>
  <c r="W609" i="38" a="1"/>
  <c r="W609" i="38" s="1"/>
  <c r="P609" i="38" s="1" a="1"/>
  <c r="P609" i="38" s="1"/>
  <c r="W641" i="38" a="1"/>
  <c r="W641" i="38" s="1"/>
  <c r="P641" i="38" s="1" a="1"/>
  <c r="P641" i="38" s="1"/>
  <c r="W654" i="38" a="1"/>
  <c r="W654" i="38" s="1"/>
  <c r="W655" i="38" a="1"/>
  <c r="W655" i="38" s="1"/>
  <c r="W649" i="38" a="1"/>
  <c r="W649" i="38" s="1"/>
  <c r="P649" i="38" s="1" a="1"/>
  <c r="P649" i="38" s="1"/>
  <c r="W650" i="38" a="1"/>
  <c r="W650" i="38" s="1"/>
  <c r="P650" i="38" s="1" a="1"/>
  <c r="P650" i="38" s="1"/>
  <c r="W651" i="38" a="1"/>
  <c r="W651" i="38" s="1"/>
  <c r="P651" i="38" s="1" a="1"/>
  <c r="P651" i="38" s="1"/>
  <c r="W601" i="38" a="1"/>
  <c r="W601" i="38" s="1"/>
  <c r="W656" i="38" a="1"/>
  <c r="W656" i="38" s="1"/>
  <c r="R656" i="38"/>
  <c r="W648" i="38" a="1"/>
  <c r="W648" i="38" s="1"/>
  <c r="P648" i="38" s="1" a="1"/>
  <c r="P648" i="38" s="1"/>
  <c r="W603" i="38" a="1"/>
  <c r="W603" i="38" s="1"/>
  <c r="W626" i="38" a="1"/>
  <c r="W626" i="38" s="1"/>
  <c r="W514" i="38" a="1"/>
  <c r="W514" i="38" s="1"/>
  <c r="W604" i="38" a="1"/>
  <c r="W604" i="38" s="1"/>
  <c r="W571" i="38" a="1"/>
  <c r="W571" i="38" s="1"/>
  <c r="W614" i="38" a="1"/>
  <c r="W614" i="38" s="1"/>
  <c r="P614" i="38" s="1" a="1"/>
  <c r="P614" i="38" s="1"/>
  <c r="W564" i="38" a="1"/>
  <c r="W564" i="38" s="1"/>
  <c r="W628" i="38" a="1"/>
  <c r="W628" i="38" s="1"/>
  <c r="W608" i="38" a="1"/>
  <c r="W608" i="38" s="1"/>
  <c r="P608" i="38" s="1" a="1"/>
  <c r="P608" i="38" s="1"/>
  <c r="W623" i="38" a="1"/>
  <c r="W623" i="38" s="1"/>
  <c r="W569" i="38" a="1"/>
  <c r="W569" i="38" s="1"/>
  <c r="W624" i="38" a="1"/>
  <c r="W624" i="38" s="1"/>
  <c r="W602" i="38" a="1"/>
  <c r="W602" i="38" s="1"/>
  <c r="W612" i="38" a="1"/>
  <c r="W612" i="38" s="1"/>
  <c r="P612" i="38" s="1" a="1"/>
  <c r="P612" i="38" s="1"/>
  <c r="W621" i="38" a="1"/>
  <c r="W621" i="38" s="1"/>
  <c r="P621" i="38" s="1" a="1"/>
  <c r="P621" i="38" s="1"/>
  <c r="W620" i="38" a="1"/>
  <c r="W620" i="38" s="1"/>
  <c r="P620" i="38" s="1" a="1"/>
  <c r="P620" i="38" s="1"/>
  <c r="W610" i="38" a="1"/>
  <c r="W610" i="38" s="1"/>
  <c r="P610" i="38" s="1" a="1"/>
  <c r="P610" i="38" s="1"/>
  <c r="W611" i="38" a="1"/>
  <c r="W611" i="38" s="1"/>
  <c r="P611" i="38" s="1" a="1"/>
  <c r="P611" i="38" s="1"/>
  <c r="W613" i="38" a="1"/>
  <c r="W613" i="38" s="1"/>
  <c r="P613" i="38" s="1" a="1"/>
  <c r="P613" i="38" s="1"/>
  <c r="W619" i="38" a="1"/>
  <c r="W619" i="38" s="1"/>
  <c r="P619" i="38" s="1" a="1"/>
  <c r="P619" i="38" s="1"/>
  <c r="R595" i="38"/>
  <c r="W595" i="38" a="1"/>
  <c r="W595" i="38" s="1"/>
  <c r="W605" i="38" a="1"/>
  <c r="W605" i="38" s="1"/>
  <c r="P605" i="38" s="1" a="1"/>
  <c r="P605" i="38" s="1"/>
  <c r="W618" i="38" a="1"/>
  <c r="W618" i="38" s="1"/>
  <c r="P618" i="38" s="1" a="1"/>
  <c r="P618" i="38" s="1"/>
  <c r="W582" i="38" a="1"/>
  <c r="W582" i="38" s="1"/>
  <c r="P582" i="38" s="1" a="1"/>
  <c r="P582" i="38" s="1"/>
  <c r="W551" i="38" a="1"/>
  <c r="W551" i="38" s="1"/>
  <c r="P551" i="38" s="1" a="1"/>
  <c r="P551" i="38" s="1"/>
  <c r="W573" i="38" a="1"/>
  <c r="W573" i="38" s="1"/>
  <c r="W584" i="38" a="1"/>
  <c r="W584" i="38" s="1"/>
  <c r="P584" i="38" s="1" a="1"/>
  <c r="P584" i="38" s="1"/>
  <c r="W597" i="38" a="1"/>
  <c r="W597" i="38" s="1"/>
  <c r="W574" i="38" a="1"/>
  <c r="W574" i="38" s="1"/>
  <c r="W542" i="38" a="1"/>
  <c r="W542" i="38" s="1"/>
  <c r="W520" i="38" a="1"/>
  <c r="W520" i="38" s="1"/>
  <c r="P520" i="38" s="1" a="1"/>
  <c r="P520" i="38" s="1"/>
  <c r="W586" i="38" a="1"/>
  <c r="W586" i="38" s="1"/>
  <c r="P586" i="38" s="1" a="1"/>
  <c r="P586" i="38" s="1"/>
  <c r="W554" i="38" a="1"/>
  <c r="W554" i="38" s="1"/>
  <c r="P554" i="38" s="1" a="1"/>
  <c r="P554" i="38" s="1"/>
  <c r="W522" i="38" a="1"/>
  <c r="W522" i="38" s="1"/>
  <c r="P522" i="38" s="1" a="1"/>
  <c r="P522" i="38" s="1"/>
  <c r="W545" i="38" a="1"/>
  <c r="W545" i="38" s="1"/>
  <c r="P545" i="38" s="1" a="1"/>
  <c r="P545" i="38" s="1"/>
  <c r="W578" i="38" a="1"/>
  <c r="W578" i="38" s="1"/>
  <c r="P578" i="38" s="1" a="1"/>
  <c r="P578" i="38" s="1"/>
  <c r="W547" i="38" a="1"/>
  <c r="W547" i="38" s="1"/>
  <c r="P547" i="38" s="1" a="1"/>
  <c r="P547" i="38" s="1"/>
  <c r="W580" i="38" a="1"/>
  <c r="W580" i="38" s="1"/>
  <c r="P580" i="38" s="1" a="1"/>
  <c r="P580" i="38" s="1"/>
  <c r="W549" i="38" a="1"/>
  <c r="W549" i="38" s="1"/>
  <c r="P549" i="38" s="1" a="1"/>
  <c r="P549" i="38" s="1"/>
  <c r="W588" i="38" a="1"/>
  <c r="W588" i="38" s="1"/>
  <c r="P588" i="38" s="1" a="1"/>
  <c r="P588" i="38" s="1"/>
  <c r="W591" i="38" a="1"/>
  <c r="W591" i="38" s="1"/>
  <c r="P591" i="38" s="1" a="1"/>
  <c r="P591" i="38" s="1"/>
  <c r="W589" i="38" a="1"/>
  <c r="W589" i="38" s="1"/>
  <c r="P589" i="38" s="1" a="1"/>
  <c r="P589" i="38" s="1"/>
  <c r="W593" i="38" a="1"/>
  <c r="W593" i="38" s="1"/>
  <c r="R593" i="38"/>
  <c r="W594" i="38" a="1"/>
  <c r="W594" i="38" s="1"/>
  <c r="R594" i="38"/>
  <c r="W572" i="38" a="1"/>
  <c r="W572" i="38" s="1"/>
  <c r="W541" i="38" a="1"/>
  <c r="W541" i="38" s="1"/>
  <c r="W575" i="38" a="1"/>
  <c r="W575" i="38" s="1"/>
  <c r="P575" i="38" s="1" a="1"/>
  <c r="P575" i="38" s="1"/>
  <c r="W590" i="38" a="1"/>
  <c r="W590" i="38" s="1"/>
  <c r="P590" i="38" s="1" a="1"/>
  <c r="P590" i="38" s="1"/>
  <c r="W552" i="38" a="1"/>
  <c r="W552" i="38" s="1"/>
  <c r="P552" i="38" s="1" a="1"/>
  <c r="P552" i="38" s="1"/>
  <c r="W521" i="38" a="1"/>
  <c r="W521" i="38" s="1"/>
  <c r="P521" i="38" s="1" a="1"/>
  <c r="P521" i="38" s="1"/>
  <c r="W543" i="38" a="1"/>
  <c r="W543" i="38" s="1"/>
  <c r="W553" i="38" a="1"/>
  <c r="W553" i="38" s="1"/>
  <c r="P553" i="38" s="1" a="1"/>
  <c r="P553" i="38" s="1"/>
  <c r="W535" i="38" a="1"/>
  <c r="W535" i="38" s="1"/>
  <c r="W503" i="38" a="1"/>
  <c r="W503" i="38" s="1"/>
  <c r="W544" i="38" a="1"/>
  <c r="W544" i="38" s="1"/>
  <c r="W555" i="38" a="1"/>
  <c r="W555" i="38" s="1"/>
  <c r="P555" i="38" s="1" a="1"/>
  <c r="P555" i="38" s="1"/>
  <c r="W568" i="38" a="1"/>
  <c r="W568" i="38" s="1"/>
  <c r="W491" i="38" a="1"/>
  <c r="W491" i="38" s="1"/>
  <c r="P491" i="38" s="1" a="1"/>
  <c r="P491" i="38" s="1"/>
  <c r="W524" i="38" a="1"/>
  <c r="W524" i="38" s="1"/>
  <c r="P524" i="38" s="1" a="1"/>
  <c r="P524" i="38" s="1"/>
  <c r="W556" i="38" a="1"/>
  <c r="W556" i="38" s="1"/>
  <c r="P556" i="38" s="1" a="1"/>
  <c r="P556" i="38" s="1"/>
  <c r="W493" i="38" a="1"/>
  <c r="W493" i="38" s="1"/>
  <c r="P493" i="38" s="1" a="1"/>
  <c r="P493" i="38" s="1"/>
  <c r="W548" i="38" a="1"/>
  <c r="W548" i="38" s="1"/>
  <c r="P548" i="38" s="1" a="1"/>
  <c r="P548" i="38" s="1"/>
  <c r="W550" i="38" a="1"/>
  <c r="W550" i="38" s="1"/>
  <c r="P550" i="38" s="1" a="1"/>
  <c r="P550" i="38" s="1"/>
  <c r="W563" i="38" a="1"/>
  <c r="W563" i="38" s="1"/>
  <c r="W519" i="38" a="1"/>
  <c r="W519" i="38" s="1"/>
  <c r="P519" i="38" s="1" a="1"/>
  <c r="P519" i="38" s="1"/>
  <c r="W558" i="38" a="1"/>
  <c r="W558" i="38" s="1"/>
  <c r="P558" i="38" s="1" a="1"/>
  <c r="P558" i="38" s="1"/>
  <c r="W559" i="38" a="1"/>
  <c r="W559" i="38" s="1"/>
  <c r="P559" i="38" s="1" a="1"/>
  <c r="P559" i="38" s="1"/>
  <c r="W560" i="38" a="1"/>
  <c r="W560" i="38" s="1"/>
  <c r="P560" i="38" s="1" a="1"/>
  <c r="P560" i="38" s="1"/>
  <c r="W561" i="38" a="1"/>
  <c r="W561" i="38" s="1"/>
  <c r="P561" i="38" s="1" a="1"/>
  <c r="P561" i="38" s="1"/>
  <c r="W565" i="38" a="1"/>
  <c r="W565" i="38" s="1"/>
  <c r="R565" i="38"/>
  <c r="W566" i="38" a="1"/>
  <c r="W566" i="38" s="1"/>
  <c r="R566" i="38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397" i="38" l="1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W76" i="38" s="1" a="1"/>
  <c r="W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AC38" i="36"/>
  <c r="AC39" i="36"/>
  <c r="AC40" i="36"/>
  <c r="AC41" i="36"/>
  <c r="AC42" i="36"/>
  <c r="AC43" i="36"/>
  <c r="AC44" i="36"/>
  <c r="W119" i="38" s="1" a="1"/>
  <c r="W119" i="38" s="1"/>
  <c r="AC45" i="36"/>
  <c r="AC46" i="36"/>
  <c r="AC47" i="36"/>
  <c r="AC48" i="36"/>
  <c r="W63" i="38" l="1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AC36" i="36"/>
  <c r="AC37" i="36"/>
  <c r="AC31" i="36" l="1"/>
  <c r="AC32" i="36"/>
  <c r="AC33" i="36"/>
  <c r="AC34" i="36"/>
  <c r="AC35" i="36"/>
  <c r="AC23" i="36"/>
  <c r="AC24" i="36"/>
  <c r="AC25" i="36"/>
  <c r="AC26" i="36"/>
  <c r="AC27" i="36"/>
  <c r="AC28" i="36"/>
  <c r="AC29" i="36"/>
  <c r="AC30" i="36"/>
  <c r="W120" i="38" l="1" a="1"/>
  <c r="W120" i="38" s="1"/>
  <c r="S22" i="36" a="1"/>
  <c r="S22" i="36" s="1"/>
  <c r="O22" i="36" a="1"/>
  <c r="O22" i="36" s="1"/>
  <c r="G61" i="38"/>
  <c r="H61" i="38"/>
  <c r="F61" i="38"/>
  <c r="W19" i="38" l="1" a="1"/>
  <c r="W19" i="38" s="1"/>
  <c r="P19" i="38" s="1"/>
  <c r="W27" i="38" a="1"/>
  <c r="W27" i="38" s="1"/>
  <c r="P27" i="38" s="1"/>
  <c r="W17" i="38" a="1"/>
  <c r="W17" i="38" s="1"/>
  <c r="P17" i="38" s="1"/>
  <c r="W21" i="38" a="1"/>
  <c r="W21" i="38" s="1"/>
  <c r="P21" i="38" s="1"/>
  <c r="W28" i="38" a="1"/>
  <c r="W28" i="38" s="1"/>
  <c r="P28" i="38" s="1"/>
  <c r="P5" i="38"/>
  <c r="W16" i="38" a="1"/>
  <c r="W16" i="38" s="1"/>
  <c r="P16" i="38" s="1"/>
  <c r="W23" i="38" a="1"/>
  <c r="W23" i="38" s="1"/>
  <c r="P23" i="38" s="1"/>
  <c r="P15" i="38"/>
  <c r="W18" i="38" a="1"/>
  <c r="W18" i="38" s="1"/>
  <c r="P18" i="38" s="1"/>
  <c r="W20" i="38" a="1"/>
  <c r="W20" i="38" s="1"/>
  <c r="P20" i="38" s="1"/>
  <c r="W22" i="38" a="1"/>
  <c r="W22" i="38" s="1"/>
  <c r="P22" i="38" s="1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C2" i="19" l="1" a="1"/>
  <c r="C2" i="19" s="1"/>
  <c r="A2" i="19" a="1"/>
  <c r="A2" i="19" s="1"/>
  <c r="H52" i="36"/>
  <c r="I52" i="36"/>
  <c r="J52" i="36"/>
  <c r="K52" i="36"/>
  <c r="H53" i="36"/>
  <c r="I53" i="36"/>
  <c r="J53" i="36"/>
  <c r="K53" i="36"/>
  <c r="H54" i="36"/>
  <c r="I54" i="36"/>
  <c r="J54" i="36"/>
  <c r="K54" i="36"/>
  <c r="H55" i="36"/>
  <c r="I55" i="36"/>
  <c r="J55" i="36"/>
  <c r="K55" i="36"/>
  <c r="H56" i="36"/>
  <c r="I56" i="36"/>
  <c r="J56" i="36"/>
  <c r="K56" i="36"/>
  <c r="H57" i="36"/>
  <c r="I57" i="36"/>
  <c r="J57" i="36"/>
  <c r="K57" i="36"/>
  <c r="H58" i="36"/>
  <c r="I58" i="36"/>
  <c r="J58" i="36"/>
  <c r="K58" i="36"/>
  <c r="H59" i="36"/>
  <c r="I59" i="36"/>
  <c r="J59" i="36"/>
  <c r="K59" i="36"/>
  <c r="H60" i="36"/>
  <c r="I60" i="36"/>
  <c r="J60" i="36"/>
  <c r="K60" i="36"/>
  <c r="H61" i="36"/>
  <c r="I61" i="36"/>
  <c r="J61" i="36"/>
  <c r="K61" i="36"/>
  <c r="H62" i="36"/>
  <c r="I62" i="36"/>
  <c r="J62" i="36"/>
  <c r="K62" i="36"/>
  <c r="H63" i="36"/>
  <c r="I63" i="36"/>
  <c r="J63" i="36"/>
  <c r="K63" i="36"/>
  <c r="H64" i="36"/>
  <c r="I64" i="36"/>
  <c r="J64" i="36"/>
  <c r="K64" i="36"/>
  <c r="H65" i="36"/>
  <c r="I65" i="36"/>
  <c r="J65" i="36"/>
  <c r="K65" i="36"/>
  <c r="H66" i="36"/>
  <c r="I66" i="36"/>
  <c r="J66" i="36"/>
  <c r="K66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30" i="36"/>
  <c r="K1031" i="36"/>
  <c r="K1032" i="36"/>
  <c r="K1033" i="36"/>
  <c r="K1034" i="36"/>
  <c r="K1035" i="36"/>
  <c r="K1036" i="36"/>
  <c r="K1037" i="36"/>
  <c r="K1038" i="36"/>
  <c r="K1039" i="36"/>
  <c r="K1040" i="36"/>
  <c r="K1041" i="36"/>
  <c r="K1042" i="36"/>
  <c r="K1043" i="36"/>
  <c r="K1044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30" i="36"/>
  <c r="J1031" i="36"/>
  <c r="J1032" i="36"/>
  <c r="J1033" i="36"/>
  <c r="J1034" i="36"/>
  <c r="J1035" i="36"/>
  <c r="J1036" i="36"/>
  <c r="J1037" i="36"/>
  <c r="J1038" i="36"/>
  <c r="J1039" i="36"/>
  <c r="J1040" i="36"/>
  <c r="J1041" i="36"/>
  <c r="J1042" i="36"/>
  <c r="J1043" i="36"/>
  <c r="J1044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30" i="36"/>
  <c r="I1031" i="36"/>
  <c r="I1032" i="36"/>
  <c r="I1033" i="36"/>
  <c r="I1034" i="36"/>
  <c r="I1035" i="36"/>
  <c r="I1036" i="36"/>
  <c r="I1037" i="36"/>
  <c r="I1038" i="36"/>
  <c r="I1039" i="36"/>
  <c r="I1040" i="36"/>
  <c r="I1041" i="36"/>
  <c r="I1042" i="36"/>
  <c r="I1043" i="36"/>
  <c r="I1044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30" i="36"/>
  <c r="H1031" i="36"/>
  <c r="H1032" i="36"/>
  <c r="H1033" i="36"/>
  <c r="H1034" i="36"/>
  <c r="H1035" i="36"/>
  <c r="H1036" i="36"/>
  <c r="H1037" i="36"/>
  <c r="H1038" i="36"/>
  <c r="H1039" i="36"/>
  <c r="H1040" i="36"/>
  <c r="H1041" i="36"/>
  <c r="H1042" i="36"/>
  <c r="H1043" i="36"/>
  <c r="H1044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H28" i="36" l="1"/>
  <c r="I29" i="36"/>
  <c r="H33" i="36"/>
  <c r="I27" i="36"/>
  <c r="I28" i="36"/>
  <c r="H30" i="36"/>
  <c r="I30" i="36"/>
  <c r="I32" i="36"/>
  <c r="I33" i="36"/>
  <c r="I34" i="36"/>
  <c r="H27" i="36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H49" i="36"/>
  <c r="H1005" i="36"/>
  <c r="I41" i="36"/>
  <c r="I1005" i="36"/>
  <c r="H1029" i="36"/>
  <c r="H51" i="36"/>
  <c r="H42" i="36"/>
  <c r="H50" i="36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3" i="35"/>
  <c r="B57" i="35"/>
  <c r="B49" i="35"/>
  <c r="B60" i="35"/>
  <c r="B52" i="35"/>
  <c r="B51" i="35"/>
  <c r="B48" i="35"/>
  <c r="B56" i="35"/>
  <c r="B50" i="35"/>
  <c r="B61" i="35"/>
  <c r="B46" i="35"/>
  <c r="B54" i="35"/>
  <c r="B55" i="35"/>
  <c r="B58" i="35"/>
  <c r="B47" i="35"/>
  <c r="B59" i="35"/>
  <c r="C47" i="35" l="1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37" i="35" l="1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91" i="38" l="1"/>
  <c r="B13" i="1"/>
  <c r="V6" i="38"/>
  <c r="V9" i="38"/>
  <c r="P9" i="38" s="1"/>
  <c r="V92" i="38"/>
  <c r="V99" i="38"/>
  <c r="V102" i="38"/>
  <c r="V96" i="38"/>
  <c r="V105" i="38"/>
  <c r="V108" i="38"/>
  <c r="V106" i="38"/>
  <c r="V103" i="38"/>
  <c r="V100" i="38"/>
  <c r="V97" i="38"/>
  <c r="V94" i="38"/>
  <c r="V101" i="38"/>
  <c r="V107" i="38"/>
  <c r="V95" i="38"/>
  <c r="V104" i="38"/>
  <c r="V98" i="38"/>
  <c r="V93" i="38"/>
  <c r="V181" i="38"/>
  <c r="P181" i="38" s="1" a="1"/>
  <c r="P181" i="38" s="1"/>
  <c r="V391" i="38"/>
  <c r="V514" i="38"/>
  <c r="P514" i="38" s="1" a="1"/>
  <c r="P514" i="38" s="1"/>
  <c r="V664" i="38"/>
  <c r="P664" i="38" s="1" a="1"/>
  <c r="P664" i="38" s="1"/>
  <c r="V604" i="38"/>
  <c r="P604" i="38" s="1" a="1"/>
  <c r="P604" i="38" s="1"/>
  <c r="V544" i="38"/>
  <c r="P544" i="38" s="1" a="1"/>
  <c r="P544" i="38" s="1"/>
  <c r="V484" i="38"/>
  <c r="P484" i="38" s="1" a="1"/>
  <c r="P484" i="38" s="1"/>
  <c r="V574" i="38"/>
  <c r="P574" i="38" s="1" a="1"/>
  <c r="P574" i="38" s="1"/>
  <c r="V634" i="38"/>
  <c r="P634" i="38" s="1" a="1"/>
  <c r="P634" i="38" s="1"/>
  <c r="P391" i="38" a="1"/>
  <c r="P391" i="38" s="1"/>
  <c r="V541" i="38"/>
  <c r="P541" i="38" s="1" a="1"/>
  <c r="P541" i="38" s="1"/>
  <c r="V631" i="38"/>
  <c r="P631" i="38" s="1" a="1"/>
  <c r="P631" i="38" s="1"/>
  <c r="V481" i="38"/>
  <c r="P481" i="38" s="1" a="1"/>
  <c r="P481" i="38" s="1"/>
  <c r="V571" i="38"/>
  <c r="P571" i="38" s="1" a="1"/>
  <c r="P571" i="38" s="1"/>
  <c r="V661" i="38"/>
  <c r="P661" i="38" s="1" a="1"/>
  <c r="P661" i="38" s="1"/>
  <c r="V511" i="38"/>
  <c r="P511" i="38" s="1" a="1"/>
  <c r="P511" i="38" s="1"/>
  <c r="V601" i="38"/>
  <c r="P601" i="38" s="1" a="1"/>
  <c r="P601" i="38" s="1"/>
  <c r="V61" i="38"/>
  <c r="V64" i="38"/>
  <c r="B6" i="35"/>
  <c r="B26" i="35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112" i="38" s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10" i="38" l="1"/>
  <c r="V7" i="38"/>
  <c r="B32" i="35"/>
  <c r="C55" i="35"/>
  <c r="B34" i="35"/>
  <c r="B36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W8" i="38"/>
  <c r="W11" i="38"/>
  <c r="Q410" i="36" s="1"/>
  <c r="P5" i="36" s="1" a="1"/>
  <c r="P5" i="36" s="1"/>
  <c r="Q5" i="36" s="1"/>
  <c r="V119" i="38" a="1"/>
  <c r="V119" i="38" s="1"/>
  <c r="V120" i="38"/>
  <c r="P120" i="38" s="1" a="1"/>
  <c r="P120" i="38" s="1"/>
  <c r="V118" i="38"/>
  <c r="S118" i="38" s="1" a="1"/>
  <c r="S118" i="38" s="1"/>
  <c r="V205" i="38"/>
  <c r="P205" i="38" s="1" a="1"/>
  <c r="P205" i="38" s="1"/>
  <c r="V204" i="38"/>
  <c r="P204" i="38" s="1" a="1"/>
  <c r="P204" i="38" s="1"/>
  <c r="V197" i="38"/>
  <c r="V87" i="38"/>
  <c r="P87" i="38" s="1" a="1"/>
  <c r="P87" i="38" s="1"/>
  <c r="V207" i="38"/>
  <c r="P207" i="38" s="1" a="1"/>
  <c r="P207" i="38" s="1"/>
  <c r="V83" i="38" a="1"/>
  <c r="V83" i="38" s="1"/>
  <c r="P83" i="38" s="1" a="1"/>
  <c r="P83" i="38" s="1"/>
  <c r="V84" i="38"/>
  <c r="P84" i="38" s="1" a="1"/>
  <c r="P84" i="38" s="1"/>
  <c r="V85" i="38" a="1"/>
  <c r="V85" i="38" s="1"/>
  <c r="P85" i="38" s="1" a="1"/>
  <c r="P85" i="38" s="1"/>
  <c r="V183" i="38"/>
  <c r="P183" i="38" s="1" a="1"/>
  <c r="P183" i="38" s="1"/>
  <c r="V187" i="38"/>
  <c r="P187" i="38" s="1" a="1"/>
  <c r="P187" i="38" s="1"/>
  <c r="V182" i="38"/>
  <c r="P182" i="38" s="1" a="1"/>
  <c r="P182" i="38" s="1"/>
  <c r="V414" i="38"/>
  <c r="P414" i="38" s="1" a="1"/>
  <c r="P414" i="38" s="1"/>
  <c r="V415" i="38"/>
  <c r="P415" i="38" s="1" a="1"/>
  <c r="P415" i="38" s="1"/>
  <c r="V392" i="38"/>
  <c r="P392" i="38" s="1" a="1"/>
  <c r="P392" i="38" s="1"/>
  <c r="V397" i="38"/>
  <c r="V393" i="38"/>
  <c r="V210" i="38" s="1"/>
  <c r="V507" i="38"/>
  <c r="P507" i="38" s="1" a="1"/>
  <c r="P507" i="38" s="1"/>
  <c r="V657" i="38"/>
  <c r="P657" i="38" s="1" a="1"/>
  <c r="P657" i="38" s="1"/>
  <c r="V597" i="38"/>
  <c r="P597" i="38" s="1" a="1"/>
  <c r="P597" i="38" s="1"/>
  <c r="V687" i="38"/>
  <c r="P687" i="38" s="1" a="1"/>
  <c r="P687" i="38" s="1"/>
  <c r="V417" i="38"/>
  <c r="P417" i="38" s="1" a="1"/>
  <c r="P417" i="38" s="1"/>
  <c r="V537" i="38"/>
  <c r="P537" i="38" s="1" a="1"/>
  <c r="P537" i="38" s="1"/>
  <c r="V627" i="38"/>
  <c r="P627" i="38" s="1" a="1"/>
  <c r="P627" i="38" s="1"/>
  <c r="V567" i="38"/>
  <c r="P567" i="38" s="1" a="1"/>
  <c r="P567" i="38" s="1"/>
  <c r="V677" i="38"/>
  <c r="V407" i="38"/>
  <c r="V527" i="38"/>
  <c r="V617" i="38"/>
  <c r="V557" i="38"/>
  <c r="V647" i="38"/>
  <c r="V77" i="38"/>
  <c r="V497" i="38"/>
  <c r="V587" i="38"/>
  <c r="V683" i="38" a="1"/>
  <c r="V683" i="38" s="1"/>
  <c r="P683" i="38" s="1" a="1"/>
  <c r="P683" i="38" s="1"/>
  <c r="V662" i="38" a="1"/>
  <c r="V662" i="38" s="1"/>
  <c r="P662" i="38" s="1" a="1"/>
  <c r="P662" i="38" s="1"/>
  <c r="V663" i="38"/>
  <c r="P663" i="38" s="1" a="1"/>
  <c r="P663" i="38" s="1"/>
  <c r="V685" i="38" a="1"/>
  <c r="V685" i="38" s="1"/>
  <c r="P685" i="38" s="1" a="1"/>
  <c r="P685" i="38" s="1"/>
  <c r="V684" i="38"/>
  <c r="P684" i="38" s="1" a="1"/>
  <c r="P684" i="38" s="1"/>
  <c r="V653" i="38" a="1"/>
  <c r="V653" i="38" s="1"/>
  <c r="P653" i="38" s="1" a="1"/>
  <c r="P653" i="38" s="1"/>
  <c r="V633" i="38"/>
  <c r="P633" i="38" s="1" a="1"/>
  <c r="P633" i="38" s="1"/>
  <c r="V655" i="38" a="1"/>
  <c r="V655" i="38" s="1"/>
  <c r="P655" i="38" s="1" a="1"/>
  <c r="P655" i="38" s="1"/>
  <c r="V632" i="38" a="1"/>
  <c r="V632" i="38" s="1"/>
  <c r="P632" i="38" s="1" a="1"/>
  <c r="P632" i="38" s="1"/>
  <c r="V654" i="38"/>
  <c r="P654" i="38" s="1" a="1"/>
  <c r="P654" i="38" s="1"/>
  <c r="V623" i="38" a="1"/>
  <c r="V623" i="38" s="1"/>
  <c r="P623" i="38" s="1" a="1"/>
  <c r="P623" i="38" s="1"/>
  <c r="V603" i="38"/>
  <c r="P603" i="38" s="1" a="1"/>
  <c r="P603" i="38" s="1"/>
  <c r="V625" i="38" a="1"/>
  <c r="V625" i="38" s="1"/>
  <c r="P625" i="38" s="1" a="1"/>
  <c r="P625" i="38" s="1"/>
  <c r="V602" i="38" a="1"/>
  <c r="V602" i="38" s="1"/>
  <c r="P602" i="38" s="1" a="1"/>
  <c r="P602" i="38" s="1"/>
  <c r="V624" i="38"/>
  <c r="P624" i="38" s="1" a="1"/>
  <c r="P624" i="38" s="1"/>
  <c r="V593" i="38" a="1"/>
  <c r="V593" i="38" s="1"/>
  <c r="P593" i="38" s="1" a="1"/>
  <c r="P593" i="38" s="1"/>
  <c r="V573" i="38"/>
  <c r="P573" i="38" s="1" a="1"/>
  <c r="P573" i="38" s="1"/>
  <c r="V595" i="38" a="1"/>
  <c r="V595" i="38" s="1"/>
  <c r="P595" i="38" s="1" a="1"/>
  <c r="P595" i="38" s="1"/>
  <c r="V572" i="38" a="1"/>
  <c r="V572" i="38" s="1"/>
  <c r="P572" i="38" s="1" a="1"/>
  <c r="P572" i="38" s="1"/>
  <c r="V594" i="38"/>
  <c r="P594" i="38" s="1" a="1"/>
  <c r="P594" i="38" s="1"/>
  <c r="V563" i="38" a="1"/>
  <c r="V563" i="38" s="1"/>
  <c r="P563" i="38" s="1" a="1"/>
  <c r="P563" i="38" s="1"/>
  <c r="V543" i="38"/>
  <c r="P543" i="38" s="1" a="1"/>
  <c r="P543" i="38" s="1"/>
  <c r="V565" i="38" a="1"/>
  <c r="V565" i="38" s="1"/>
  <c r="P565" i="38" s="1" a="1"/>
  <c r="P565" i="38" s="1"/>
  <c r="V542" i="38" a="1"/>
  <c r="V542" i="38" s="1"/>
  <c r="P542" i="38" s="1" a="1"/>
  <c r="P542" i="38" s="1"/>
  <c r="V564" i="38"/>
  <c r="P564" i="38" s="1" a="1"/>
  <c r="P564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1" i="38" a="1"/>
  <c r="P61" i="38" s="1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P7" i="38" l="1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90" i="38"/>
  <c r="P90" i="38" s="1" a="1"/>
  <c r="P90" i="38" s="1"/>
  <c r="V89" i="38"/>
  <c r="P89" i="38" s="1" a="1"/>
  <c r="P89" i="38" s="1"/>
  <c r="V86" i="38"/>
  <c r="P86" i="38" s="1" a="1"/>
  <c r="P86" i="38" s="1"/>
  <c r="V88" i="38"/>
  <c r="P88" i="38" s="1" a="1"/>
  <c r="P88" i="38" s="1"/>
  <c r="V206" i="38"/>
  <c r="P206" i="38" s="1" a="1"/>
  <c r="P206" i="38" s="1"/>
  <c r="V209" i="38"/>
  <c r="P209" i="38" s="1" a="1"/>
  <c r="P209" i="38" s="1"/>
  <c r="V208" i="38"/>
  <c r="P208" i="38" s="1" a="1"/>
  <c r="P20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660" i="38"/>
  <c r="V690" i="38"/>
  <c r="V686" i="38"/>
  <c r="P686" i="38" s="1" a="1"/>
  <c r="P686" i="38" s="1"/>
  <c r="V689" i="38"/>
  <c r="P689" i="38" s="1" a="1"/>
  <c r="P689" i="38" s="1"/>
  <c r="V688" i="38"/>
  <c r="P688" i="38" s="1" a="1"/>
  <c r="P688" i="38" s="1"/>
  <c r="V656" i="38"/>
  <c r="P656" i="38" s="1" a="1"/>
  <c r="P656" i="38" s="1"/>
  <c r="V659" i="38"/>
  <c r="P659" i="38" s="1" a="1"/>
  <c r="P659" i="38" s="1"/>
  <c r="V658" i="38"/>
  <c r="P658" i="38" s="1" a="1"/>
  <c r="P658" i="38" s="1"/>
  <c r="V600" i="38"/>
  <c r="V630" i="38"/>
  <c r="V626" i="38"/>
  <c r="P626" i="38" s="1" a="1"/>
  <c r="P626" i="38" s="1"/>
  <c r="V629" i="38"/>
  <c r="P629" i="38" s="1" a="1"/>
  <c r="P629" i="38" s="1"/>
  <c r="V628" i="38"/>
  <c r="P628" i="38" s="1" a="1"/>
  <c r="P628" i="38" s="1"/>
  <c r="V596" i="38"/>
  <c r="P596" i="38" s="1" a="1"/>
  <c r="P596" i="38" s="1"/>
  <c r="V599" i="38"/>
  <c r="P599" i="38" s="1" a="1"/>
  <c r="P599" i="38" s="1"/>
  <c r="V598" i="38"/>
  <c r="P598" i="38" s="1" a="1"/>
  <c r="P598" i="38" s="1"/>
  <c r="V540" i="38"/>
  <c r="V570" i="38"/>
  <c r="V566" i="38"/>
  <c r="P566" i="38" s="1" a="1"/>
  <c r="P566" i="38" s="1"/>
  <c r="V569" i="38"/>
  <c r="P569" i="38" s="1" a="1"/>
  <c r="P569" i="38" s="1"/>
  <c r="V568" i="38"/>
  <c r="P568" i="38" s="1" a="1"/>
  <c r="P568" i="38" s="1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W666" i="38"/>
  <c r="P666" i="38" s="1" a="1"/>
  <c r="P666" i="38" s="1"/>
  <c r="P397" i="38" a="1"/>
  <c r="P397" i="38" s="1"/>
  <c r="W606" i="38"/>
  <c r="P606" i="38" s="1" a="1"/>
  <c r="P606" i="38" s="1"/>
  <c r="W636" i="38"/>
  <c r="P636" i="38" s="1" a="1"/>
  <c r="P636" i="38" s="1"/>
  <c r="W546" i="38"/>
  <c r="P546" i="38" s="1" a="1"/>
  <c r="P546" i="38" s="1"/>
  <c r="W576" i="38"/>
  <c r="P576" i="38" s="1" a="1"/>
  <c r="P576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91" i="38" l="1" a="1"/>
  <c r="E91" i="38" s="1"/>
  <c r="E181" i="38" a="1"/>
  <c r="E181" i="38" s="1"/>
  <c r="Q4" i="36"/>
  <c r="W112" i="38" s="1"/>
  <c r="P112" i="38" s="1" a="1"/>
  <c r="P112" i="38" s="1"/>
  <c r="E391" i="38" a="1"/>
  <c r="E391" i="38" s="1"/>
  <c r="E61" i="38" a="1"/>
  <c r="E61" i="38" s="1"/>
  <c r="E481" i="38" a="1"/>
  <c r="E481" i="38" s="1"/>
  <c r="E541" i="38" a="1"/>
  <c r="E541" i="38" s="1"/>
  <c r="E601" i="38" a="1"/>
  <c r="E601" i="38" s="1"/>
  <c r="E661" i="38" a="1"/>
  <c r="E661" i="38" s="1"/>
  <c r="E631" i="38" a="1"/>
  <c r="E631" i="38" s="1"/>
  <c r="E571" i="38" a="1"/>
  <c r="E57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527" i="38" l="1"/>
  <c r="P527" i="38" s="1" a="1"/>
  <c r="P527" i="38" s="1"/>
  <c r="W557" i="38"/>
  <c r="P557" i="38" s="1" a="1"/>
  <c r="P557" i="38" s="1"/>
  <c r="W587" i="38"/>
  <c r="P587" i="38" s="1" a="1"/>
  <c r="P587" i="38" s="1"/>
  <c r="W407" i="38"/>
  <c r="P407" i="38" s="1" a="1"/>
  <c r="P407" i="38" s="1"/>
  <c r="W677" i="38"/>
  <c r="P677" i="38" s="1" a="1"/>
  <c r="P677" i="38" s="1"/>
  <c r="W617" i="38"/>
  <c r="P617" i="38" s="1" a="1"/>
  <c r="P617" i="38" s="1"/>
  <c r="E3" i="19" a="1"/>
  <c r="E3" i="19" s="1"/>
  <c r="E2" i="19"/>
  <c r="W197" i="38"/>
  <c r="P197" i="38" s="1" a="1"/>
  <c r="P197" i="38" s="1"/>
  <c r="W497" i="38"/>
  <c r="P497" i="38" s="1" a="1"/>
  <c r="P497" i="38" s="1"/>
  <c r="W77" i="38"/>
  <c r="P77" i="38" s="1" a="1"/>
  <c r="P77" i="38" s="1"/>
  <c r="W647" i="38"/>
  <c r="P647" i="38" s="1" a="1"/>
  <c r="P64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H8" i="1" l="1" a="1"/>
  <c r="H8" i="1" s="1"/>
  <c r="H6" i="1" a="1"/>
  <c r="H6" i="1" s="1"/>
  <c r="H27" i="1" a="1"/>
  <c r="H27" i="1" s="1"/>
  <c r="G12" i="1" a="1"/>
  <c r="G12" i="1" s="1"/>
  <c r="D14" i="1" a="1"/>
  <c r="D14" i="1" s="1"/>
  <c r="F14" i="1" s="1" a="1"/>
  <c r="F14" i="1" s="1"/>
  <c r="G28" i="1" a="1"/>
  <c r="G28" i="1" s="1"/>
  <c r="H10" i="1" a="1"/>
  <c r="H10" i="1" s="1"/>
  <c r="D11" i="1" a="1"/>
  <c r="D11" i="1" s="1"/>
  <c r="F11" i="1" s="1" a="1"/>
  <c r="F11" i="1" s="1"/>
  <c r="H16" i="1" a="1"/>
  <c r="H16" i="1" s="1"/>
  <c r="G8" i="1" a="1"/>
  <c r="G8" i="1" s="1"/>
  <c r="D5" i="1" a="1"/>
  <c r="D5" i="1" s="1"/>
  <c r="F5" i="1" s="1" a="1"/>
  <c r="F5" i="1" s="1"/>
  <c r="G18" i="1" a="1"/>
  <c r="G18" i="1" s="1"/>
  <c r="G14" i="1" a="1"/>
  <c r="G14" i="1" s="1"/>
  <c r="D23" i="1" a="1"/>
  <c r="D23" i="1" s="1"/>
  <c r="F23" i="1" s="1" a="1"/>
  <c r="F23" i="1" s="1"/>
  <c r="H18" i="1" a="1"/>
  <c r="H18" i="1" s="1"/>
  <c r="G26" i="1" a="1"/>
  <c r="G26" i="1" s="1"/>
  <c r="G13" i="1" a="1"/>
  <c r="G13" i="1" s="1"/>
  <c r="D20" i="1" a="1"/>
  <c r="D20" i="1" s="1"/>
  <c r="F20" i="1" s="1" a="1"/>
  <c r="F20" i="1" s="1"/>
  <c r="H13" i="1" a="1"/>
  <c r="H13" i="1" s="1"/>
  <c r="H25" i="1" a="1"/>
  <c r="H25" i="1" s="1"/>
  <c r="D27" i="1" a="1"/>
  <c r="D27" i="1" s="1"/>
  <c r="F27" i="1" s="1" a="1"/>
  <c r="F27" i="1" s="1"/>
  <c r="H19" i="1" a="1"/>
  <c r="H19" i="1" s="1"/>
  <c r="H14" i="1" a="1"/>
  <c r="H14" i="1" s="1"/>
  <c r="D28" i="1" a="1"/>
  <c r="D28" i="1" s="1"/>
  <c r="F28" i="1" s="1" a="1"/>
  <c r="F28" i="1" s="1"/>
  <c r="H26" i="1" a="1"/>
  <c r="H26" i="1" s="1"/>
  <c r="G27" i="1" a="1"/>
  <c r="G27" i="1" s="1"/>
  <c r="D18" i="1" a="1"/>
  <c r="D18" i="1" s="1"/>
  <c r="F18" i="1" s="1" a="1"/>
  <c r="F18" i="1" s="1"/>
  <c r="H4" i="1" a="1"/>
  <c r="H4" i="1" s="1"/>
  <c r="H15" i="1" a="1"/>
  <c r="H15" i="1" s="1"/>
  <c r="H11" i="1" a="1"/>
  <c r="H11" i="1" s="1"/>
  <c r="D6" i="1" a="1"/>
  <c r="D6" i="1" s="1"/>
  <c r="F6" i="1" s="1" a="1"/>
  <c r="F6" i="1" s="1"/>
  <c r="G7" i="1" a="1"/>
  <c r="G7" i="1" s="1"/>
  <c r="G15" i="1" a="1"/>
  <c r="G15" i="1" s="1"/>
  <c r="D21" i="1" a="1"/>
  <c r="D21" i="1" s="1"/>
  <c r="F21" i="1" s="1" a="1"/>
  <c r="F21" i="1" s="1"/>
  <c r="H20" i="1" a="1"/>
  <c r="H20" i="1" s="1"/>
  <c r="G11" i="1" a="1"/>
  <c r="G11" i="1" s="1"/>
  <c r="D7" i="1" a="1"/>
  <c r="D7" i="1" s="1"/>
  <c r="F7" i="1" s="1" a="1"/>
  <c r="F7" i="1" s="1"/>
  <c r="H28" i="1" a="1"/>
  <c r="H28" i="1" s="1"/>
  <c r="G21" i="1" a="1"/>
  <c r="G21" i="1" s="1"/>
  <c r="G24" i="1" a="1"/>
  <c r="G24" i="1" s="1"/>
  <c r="D4" i="1" a="1"/>
  <c r="D4" i="1" s="1"/>
  <c r="F4" i="1" s="1" a="1"/>
  <c r="F4" i="1" s="1"/>
  <c r="G6" i="1" a="1"/>
  <c r="G6" i="1" s="1"/>
  <c r="G22" i="1" a="1"/>
  <c r="G22" i="1" s="1"/>
  <c r="D8" i="1" a="1"/>
  <c r="D8" i="1" s="1"/>
  <c r="F8" i="1" s="1" a="1"/>
  <c r="F8" i="1" s="1"/>
  <c r="G25" i="1" a="1"/>
  <c r="G25" i="1" s="1"/>
  <c r="D16" i="1" a="1"/>
  <c r="D16" i="1" s="1"/>
  <c r="F16" i="1" s="1" a="1"/>
  <c r="F16" i="1" s="1"/>
  <c r="H22" i="1" a="1"/>
  <c r="H22" i="1" s="1"/>
  <c r="D9" i="1" a="1"/>
  <c r="D9" i="1" s="1"/>
  <c r="H7" i="1" a="1"/>
  <c r="H7" i="1" s="1"/>
  <c r="D19" i="1" a="1"/>
  <c r="D19" i="1" s="1"/>
  <c r="F19" i="1" s="1" a="1"/>
  <c r="F19" i="1" s="1"/>
  <c r="G10" i="1" a="1"/>
  <c r="G10" i="1" s="1"/>
  <c r="D15" i="1" a="1"/>
  <c r="D15" i="1" s="1"/>
  <c r="F15" i="1" s="1" a="1"/>
  <c r="F15" i="1" s="1"/>
  <c r="G16" i="1" a="1"/>
  <c r="G16" i="1" s="1"/>
  <c r="D22" i="1" a="1"/>
  <c r="D22" i="1" s="1"/>
  <c r="F22" i="1" s="1" a="1"/>
  <c r="F22" i="1" s="1"/>
  <c r="D26" i="1" a="1"/>
  <c r="D26" i="1" s="1"/>
  <c r="F26" i="1" s="1" a="1"/>
  <c r="F26" i="1" s="1"/>
  <c r="G17" i="1" a="1"/>
  <c r="G17" i="1" s="1"/>
  <c r="D24" i="1" a="1"/>
  <c r="D24" i="1" s="1"/>
  <c r="F24" i="1" s="1" a="1"/>
  <c r="F24" i="1" s="1"/>
  <c r="G4" i="1" a="1"/>
  <c r="G4" i="1" s="1"/>
  <c r="D25" i="1" a="1"/>
  <c r="D25" i="1" s="1"/>
  <c r="F25" i="1" s="1" a="1"/>
  <c r="F25" i="1" s="1"/>
  <c r="H21" i="1" a="1"/>
  <c r="H21" i="1" s="1"/>
  <c r="D10" i="1" a="1"/>
  <c r="D10" i="1" s="1"/>
  <c r="F10" i="1" s="1" a="1"/>
  <c r="F10" i="1" s="1"/>
  <c r="D12" i="1" a="1"/>
  <c r="D12" i="1" s="1"/>
  <c r="F12" i="1" s="1" a="1"/>
  <c r="F12" i="1" s="1"/>
  <c r="D13" i="1" a="1"/>
  <c r="D13" i="1" s="1"/>
  <c r="F13" i="1" s="1" a="1"/>
  <c r="F13" i="1" s="1"/>
  <c r="G9" i="1" a="1"/>
  <c r="G9" i="1" s="1"/>
  <c r="D17" i="1" a="1"/>
  <c r="D17" i="1" s="1"/>
  <c r="F17" i="1" s="1" a="1"/>
  <c r="F17" i="1" s="1"/>
  <c r="G5" i="1" a="1"/>
  <c r="G5" i="1" s="1"/>
  <c r="H5" i="1" a="1"/>
  <c r="H5" i="1" s="1"/>
  <c r="G20" i="1" a="1"/>
  <c r="G20" i="1" s="1"/>
  <c r="G23" i="1" a="1"/>
  <c r="G23" i="1" s="1"/>
  <c r="H9" i="1" a="1"/>
  <c r="H9" i="1" s="1"/>
  <c r="H23" i="1" a="1"/>
  <c r="H23" i="1" s="1"/>
  <c r="G19" i="1" a="1"/>
  <c r="G19" i="1" s="1"/>
  <c r="H12" i="1" a="1"/>
  <c r="H12" i="1" s="1"/>
  <c r="H24" i="1" a="1"/>
  <c r="H24" i="1" s="1"/>
  <c r="H17" i="1" a="1"/>
  <c r="H17" i="1" s="1"/>
  <c r="Q65" i="10"/>
  <c r="U65" i="10" s="1"/>
  <c r="AY288" i="10"/>
  <c r="BB287" i="10"/>
  <c r="BA30" i="10" a="1"/>
  <c r="BA30" i="10" s="1"/>
  <c r="F9" i="1" l="1" a="1"/>
  <c r="F9" i="1" s="1"/>
  <c r="AC22" i="36"/>
  <c r="I4" i="1"/>
  <c r="AY289" i="10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<sst xmlns="http://schemas.openxmlformats.org/spreadsheetml/2006/main" count="11460" uniqueCount="2004">
  <si>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</si>
  <si>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</si>
  <si>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</si>
  <si>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</si>
  <si>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</si>
  <si>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</si>
  <si>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</si>
  <si>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</si>
  <si>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</si>
  <si>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</si>
  <si>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</si>
  <si>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</si>
  <si>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</si>
  <si>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</si>
  <si>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</si>
  <si>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</si>
  <si>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</si>
  <si>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</si>
  <si>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</si>
  <si>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</si>
  <si>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</si>
  <si>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</si>
  <si>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</si>
  <si>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</si>
  <si>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</si>
  <si>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</si>
  <si>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</si>
  <si>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</si>
  <si>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</si>
  <si>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</si>
  <si>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</si>
  <si>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</si>
  <si>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</si>
  <si>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</si>
  <si>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</si>
  <si>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</si>
  <si>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</si>
  <si>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</si>
  <si>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</si>
  <si>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</si>
  <si>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</si>
  <si>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</si>
  <si>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</si>
  <si>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</si>
  <si>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</si>
  <si>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</si>
  <si>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</si>
  <si>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</si>
  <si>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</si>
  <si>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</si>
  <si>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</si>
  <si>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</si>
  <si>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</si>
  <si>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</si>
  <si>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</si>
  <si>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</si>
  <si>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</si>
  <si>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</si>
  <si>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</si>
  <si>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</si>
  <si>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</si>
  <si>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</si>
  <si>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</si>
  <si>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</si>
  <si>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</si>
  <si>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</si>
  <si>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</si>
  <si>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</si>
  <si>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</si>
  <si>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</si>
  <si>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</si>
  <si>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</si>
  <si>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</si>
  <si>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</si>
  <si>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</si>
  <si>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</si>
  <si>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</si>
  <si>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</si>
  <si>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</si>
  <si>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</si>
  <si>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</si>
  <si>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</si>
  <si>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</si>
  <si>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</si>
  <si>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</si>
  <si>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</si>
  <si>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</si>
  <si>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</si>
  <si>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</si>
  <si>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</si>
  <si>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</si>
  <si>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</si>
  <si>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</si>
  <si>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</si>
  <si>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</si>
  <si>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</si>
  <si>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</si>
  <si>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</si>
  <si>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</si>
  <si>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</si>
  <si>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</si>
  <si>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</si>
  <si>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</si>
  <si>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</si>
  <si>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</si>
  <si>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</si>
  <si>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</si>
  <si>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</si>
  <si>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</si>
  <si>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</si>
  <si>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</si>
  <si>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</si>
  <si>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</si>
  <si>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</si>
  <si>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</si>
  <si>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</si>
  <si>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</si>
  <si>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</si>
  <si>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</si>
  <si>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</si>
  <si>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</si>
  <si>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</si>
  <si>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</si>
  <si>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</si>
  <si>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</si>
  <si>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</si>
  <si>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</si>
  <si>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</si>
  <si>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</si>
  <si>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</si>
  <si>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</si>
  <si>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</si>
  <si>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</si>
  <si>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</si>
  <si>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</si>
  <si>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</si>
  <si>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</si>
  <si>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</si>
  <si>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</si>
  <si>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</si>
  <si>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</si>
  <si>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</si>
  <si>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</si>
  <si>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</si>
  <si>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</si>
  <si>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</si>
  <si>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</si>
  <si>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</si>
  <si>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</si>
  <si>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</si>
  <si>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</si>
  <si>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</si>
  <si>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</si>
  <si>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</si>
  <si>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</si>
  <si>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</si>
  <si>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</si>
  <si>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</si>
  <si>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</si>
  <si>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</si>
  <si>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</si>
  <si>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</si>
  <si>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</si>
  <si>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</si>
  <si>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</si>
  <si>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</si>
  <si>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</si>
  <si>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</si>
  <si>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</si>
  <si>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</si>
  <si>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</si>
  <si>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</si>
  <si>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</si>
  <si>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</si>
  <si>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</si>
  <si>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</si>
  <si>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</si>
  <si>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</si>
  <si>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</si>
  <si>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</si>
  <si>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</si>
  <si>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</si>
  <si>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</si>
  <si>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</si>
  <si>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</si>
  <si>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</si>
  <si>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</si>
  <si>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</si>
  <si>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</si>
  <si>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</si>
  <si>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</si>
  <si>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</si>
  <si>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</si>
  <si>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</si>
  <si>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</si>
  <si>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</si>
  <si>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</si>
  <si>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</si>
  <si>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</si>
  <si>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</si>
  <si>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</si>
  <si>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</si>
  <si>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</si>
  <si>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</si>
  <si>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</si>
  <si>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</si>
  <si>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</si>
  <si>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</si>
  <si>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</si>
  <si>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</si>
  <si>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</si>
  <si>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</si>
  <si>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</si>
  <si>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</si>
  <si>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</si>
  <si>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</si>
  <si>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</si>
  <si>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</si>
  <si>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</si>
  <si>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</si>
  <si>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</si>
  <si>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</si>
  <si>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</si>
  <si>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</si>
  <si>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</si>
  <si>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</si>
  <si>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</si>
  <si>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</si>
  <si>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</si>
  <si>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</si>
  <si>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</si>
  <si>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</si>
  <si>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</si>
  <si>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</si>
  <si>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</si>
  <si>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</si>
  <si>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</si>
  <si>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</si>
  <si>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</si>
  <si>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</si>
  <si>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</si>
  <si>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</si>
  <si>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</si>
  <si>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</si>
  <si>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</si>
  <si>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</si>
  <si>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</si>
  <si>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</si>
  <si>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</si>
  <si>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</si>
  <si>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</si>
  <si>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</si>
  <si>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</si>
  <si>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</si>
  <si>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</si>
  <si>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</si>
  <si>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</si>
  <si>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</si>
  <si>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</si>
  <si>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</si>
  <si>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</si>
  <si>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</si>
  <si>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</si>
  <si>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</si>
  <si>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</si>
  <si>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</si>
  <si>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</si>
  <si>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</si>
  <si>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</si>
  <si>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</si>
  <si>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</si>
  <si>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</si>
  <si>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</si>
  <si>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</si>
  <si>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</si>
  <si>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</si>
  <si>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</si>
  <si>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</si>
  <si>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</si>
  <si>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</si>
  <si>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</si>
  <si>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</si>
  <si>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</si>
  <si>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</si>
  <si>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</si>
  <si>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</si>
  <si>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</si>
  <si>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</si>
  <si>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</si>
  <si>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</si>
  <si>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</si>
  <si>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</si>
  <si>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</si>
  <si>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</si>
  <si>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</si>
  <si>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</si>
  <si>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</si>
  <si>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</si>
  <si>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</si>
  <si>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</si>
  <si>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</si>
  <si>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</si>
  <si>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</si>
  <si>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</si>
  <si>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</si>
  <si>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</si>
  <si>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</si>
  <si>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</si>
  <si>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</si>
  <si>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</si>
  <si>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</si>
  <si>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</si>
  <si>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</si>
  <si>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</si>
  <si>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</si>
  <si>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</si>
  <si>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</si>
  <si>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</si>
  <si>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</si>
  <si>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</si>
  <si>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</si>
  <si>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</si>
  <si>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</si>
  <si>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</si>
  <si>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</si>
  <si>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</si>
  <si>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</si>
  <si>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</si>
  <si>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</si>
  <si>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</si>
  <si>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</si>
  <si>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</si>
  <si>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</si>
  <si>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</si>
  <si>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</si>
  <si>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</si>
  <si>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</si>
  <si>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</si>
  <si>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</si>
  <si>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</si>
  <si>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</si>
  <si>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</si>
  <si>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</si>
  <si>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</si>
  <si>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</si>
  <si>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</si>
  <si>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</si>
  <si>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</si>
  <si>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</si>
  <si>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</si>
  <si>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</si>
  <si>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</si>
  <si>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</si>
  <si>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</si>
  <si>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</si>
  <si>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</si>
  <si>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</si>
  <si>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</si>
  <si>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</si>
  <si>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</si>
  <si>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</si>
  <si>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</si>
  <si>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</si>
  <si>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</si>
  <si>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</si>
  <si>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</si>
  <si>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</si>
  <si>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</si>
  <si>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</si>
  <si>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</si>
  <si>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</si>
  <si>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</si>
  <si>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</si>
  <si>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</si>
  <si>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</si>
  <si>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</si>
  <si>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</si>
  <si>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</si>
  <si>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</si>
  <si>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</si>
  <si>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</si>
  <si>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</si>
  <si>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</si>
  <si>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</si>
  <si>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</si>
  <si>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</si>
  <si>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</si>
  <si>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</si>
  <si>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</si>
  <si>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</si>
  <si>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</si>
  <si>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</si>
  <si>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</si>
  <si>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</si>
  <si>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</si>
  <si>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</si>
  <si>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</si>
  <si>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</si>
  <si>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</si>
  <si>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</si>
  <si>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</si>
  <si>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</si>
  <si>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</si>
  <si>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</si>
  <si>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</si>
  <si>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</si>
  <si>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</si>
  <si>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</si>
  <si>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</si>
  <si>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</si>
  <si>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</si>
  <si>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</si>
  <si>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</si>
  <si>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</si>
  <si>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</si>
  <si>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</si>
  <si>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</si>
  <si>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</si>
  <si>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</si>
  <si>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</si>
  <si>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</si>
  <si>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</si>
  <si>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</si>
  <si>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</si>
  <si>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</si>
  <si>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</si>
  <si>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</si>
  <si>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</si>
  <si>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</si>
  <si>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</si>
  <si>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</si>
  <si>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</si>
  <si>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</si>
  <si>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</si>
  <si>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</si>
  <si>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</si>
  <si>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</si>
  <si>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</si>
  <si>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</si>
  <si>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</si>
  <si>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</si>
  <si>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</si>
  <si>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</si>
  <si>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</si>
  <si>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</si>
  <si>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</si>
  <si>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</si>
  <si>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</si>
  <si>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</si>
  <si>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</si>
  <si>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</si>
  <si>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</si>
  <si>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</si>
  <si>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</si>
  <si>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</si>
  <si>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</si>
  <si>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</si>
  <si>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</si>
  <si>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</si>
  <si>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</si>
  <si>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</si>
  <si>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</si>
  <si>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</si>
  <si>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</si>
  <si>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</si>
  <si>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</si>
  <si>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</si>
  <si>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</si>
  <si>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</si>
  <si>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</si>
  <si>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</si>
  <si>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</si>
  <si>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</si>
  <si>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</si>
  <si>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</si>
  <si>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</si>
  <si>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</si>
  <si>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</si>
  <si>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</si>
  <si>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</si>
  <si>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</si>
  <si>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</si>
  <si>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</si>
  <si>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</si>
  <si>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</si>
  <si>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</si>
  <si>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</si>
  <si>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</si>
  <si>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</si>
  <si>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</si>
  <si>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</si>
  <si>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</si>
  <si>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</si>
  <si>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</si>
  <si>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</si>
  <si>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</si>
  <si>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</si>
  <si>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</si>
  <si>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</si>
  <si>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</si>
  <si>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</si>
  <si>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</si>
  <si>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</si>
  <si>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</si>
  <si>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</si>
  <si>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</si>
  <si>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</si>
  <si>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</si>
  <si>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</si>
  <si>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</si>
  <si>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</si>
  <si>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</si>
  <si>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</si>
  <si>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</si>
  <si>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</si>
  <si>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</si>
  <si>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</si>
  <si>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</si>
  <si>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</si>
  <si>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</si>
  <si>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</si>
  <si>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</si>
  <si>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</si>
  <si>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</si>
  <si>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</si>
  <si>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</si>
  <si>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</si>
  <si>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</si>
  <si>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</si>
  <si>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</si>
  <si>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</si>
  <si>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</si>
  <si>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</si>
  <si>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</si>
  <si>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</si>
  <si>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</si>
  <si>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</si>
  <si>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</si>
  <si>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</si>
  <si>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</si>
  <si>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</si>
  <si>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</si>
  <si>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</si>
  <si>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</si>
  <si>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</si>
  <si>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</si>
  <si>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</si>
  <si>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</si>
  <si>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</si>
  <si>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</si>
  <si>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</si>
  <si>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</si>
  <si>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</si>
  <si>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</si>
  <si>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</si>
  <si>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</si>
  <si>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</si>
  <si>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</si>
  <si>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</si>
  <si>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</si>
  <si>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</si>
  <si>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</si>
  <si>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</si>
  <si>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</si>
  <si>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</si>
  <si>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</si>
  <si>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</si>
  <si>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</si>
  <si>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</si>
  <si>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</si>
  <si>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</si>
  <si>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</si>
  <si>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</si>
  <si>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</si>
  <si>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</si>
  <si>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</si>
  <si>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</si>
  <si>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</si>
  <si>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</si>
  <si>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</si>
  <si>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</si>
  <si>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</si>
  <si>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</si>
  <si>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</si>
  <si>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</si>
  <si>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</si>
  <si>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</si>
  <si>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</si>
  <si>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</si>
  <si>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</si>
  <si>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</si>
  <si>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</si>
  <si>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</si>
  <si>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</si>
  <si>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</si>
  <si>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</si>
  <si>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</si>
  <si>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</si>
  <si>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</si>
  <si>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</si>
  <si>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</si>
  <si>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</si>
  <si>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</si>
  <si>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</si>
  <si>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</si>
  <si>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</si>
  <si>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</si>
  <si>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</si>
  <si>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</si>
  <si>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</si>
  <si>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</si>
  <si>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</si>
  <si>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</si>
  <si>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</si>
  <si>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</si>
  <si>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</si>
  <si>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</si>
  <si>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</si>
  <si>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</si>
  <si>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</si>
  <si>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</si>
  <si>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</si>
  <si>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</si>
  <si>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</si>
  <si>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</si>
  <si>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</si>
  <si>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</si>
  <si>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</si>
  <si>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</si>
  <si>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</si>
  <si>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</si>
  <si>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</si>
  <si>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</si>
  <si>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</si>
  <si>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</si>
  <si>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</si>
  <si>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</si>
  <si>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</si>
  <si>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</si>
  <si>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</si>
  <si>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</si>
  <si>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</si>
  <si>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</si>
  <si>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</si>
  <si>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</si>
  <si>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</si>
  <si>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</si>
  <si>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</si>
  <si>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</si>
  <si>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</si>
  <si>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</si>
  <si>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</si>
  <si>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</si>
  <si>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</si>
  <si>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</si>
  <si>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</si>
  <si>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</si>
  <si>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</si>
  <si>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</si>
  <si>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</si>
  <si>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</si>
  <si>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</si>
  <si>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</si>
  <si>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</si>
  <si>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</si>
  <si>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</si>
  <si>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</si>
  <si>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</si>
  <si>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</si>
  <si>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</si>
  <si>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</si>
  <si>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</si>
  <si>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</si>
  <si>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</si>
  <si>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</si>
  <si>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</si>
  <si>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</si>
  <si>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</si>
  <si>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</si>
  <si>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</si>
  <si>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</si>
  <si>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</si>
  <si>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</si>
  <si>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</si>
  <si>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</si>
  <si>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</si>
  <si>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</si>
  <si>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</si>
  <si>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</si>
  <si>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</si>
  <si>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</si>
  <si>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</si>
  <si>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</si>
  <si>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</si>
  <si>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</si>
  <si>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</si>
  <si>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</si>
  <si>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</si>
  <si>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</si>
  <si>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</si>
  <si>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</si>
  <si>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</si>
  <si>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</si>
  <si>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</si>
  <si>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</si>
  <si>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</si>
  <si>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</si>
  <si>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</si>
  <si>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</si>
  <si>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</si>
  <si>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</si>
  <si>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</si>
  <si>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</si>
  <si>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</si>
  <si>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</si>
  <si>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</si>
  <si>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</si>
  <si>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</si>
  <si>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</si>
  <si>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</si>
  <si>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</si>
  <si>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</si>
  <si>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</si>
  <si>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</si>
  <si>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</si>
  <si>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</si>
  <si>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</si>
  <si>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</si>
  <si>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</si>
  <si>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</si>
  <si>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</si>
  <si>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</si>
  <si>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</si>
  <si>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</si>
  <si>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</si>
  <si>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</si>
  <si>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</si>
  <si>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</si>
  <si>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</si>
  <si>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</si>
  <si>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</si>
  <si>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</si>
  <si>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</si>
  <si>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</si>
  <si>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</si>
  <si>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</si>
  <si>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</si>
  <si>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</si>
  <si>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</si>
  <si>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</si>
  <si>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</si>
  <si>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</si>
  <si>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</si>
  <si>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</si>
  <si>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</si>
  <si>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</si>
  <si>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</si>
  <si>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</si>
  <si>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</si>
  <si>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</si>
  <si>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</si>
  <si>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</si>
  <si>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</si>
  <si>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</si>
  <si>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</si>
  <si>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</si>
  <si>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</si>
  <si>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</si>
  <si>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</si>
  <si>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</si>
  <si>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</si>
  <si>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</si>
  <si>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</si>
  <si>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</si>
  <si>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</si>
  <si>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</si>
  <si>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</si>
  <si>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</si>
  <si>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</si>
  <si>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</si>
  <si>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</si>
  <si>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</si>
  <si>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</si>
  <si>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</si>
  <si>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</si>
  <si>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</si>
  <si>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</si>
  <si>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</si>
  <si>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</si>
  <si>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</si>
  <si>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</si>
  <si>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</si>
  <si>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</si>
  <si>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</si>
  <si>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</si>
  <si>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</si>
  <si>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</si>
  <si>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</si>
  <si>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</si>
  <si>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</si>
  <si>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</si>
  <si>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</si>
  <si>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</si>
  <si>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</si>
  <si>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</si>
  <si>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</si>
  <si>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</si>
  <si>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</si>
  <si>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</si>
  <si>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</si>
  <si>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</si>
  <si>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</si>
  <si>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</si>
  <si>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</si>
  <si>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</si>
  <si>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</si>
  <si>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</si>
  <si>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</si>
  <si>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</si>
  <si>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</si>
  <si>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</si>
  <si>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</si>
  <si>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</si>
  <si>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</si>
  <si>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</si>
  <si>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</si>
  <si>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</si>
  <si>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</si>
  <si>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</si>
  <si>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</si>
  <si>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</si>
  <si>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</si>
  <si>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</si>
  <si>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</si>
  <si>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</si>
  <si>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</si>
  <si>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</si>
  <si>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</si>
  <si>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</si>
  <si>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</si>
  <si>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</si>
  <si>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</si>
  <si>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</si>
  <si>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</si>
  <si>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</si>
  <si>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</si>
  <si>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</si>
  <si>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</si>
  <si>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</si>
  <si>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</si>
  <si>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</si>
  <si>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</si>
  <si>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</si>
  <si>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</si>
  <si>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</si>
  <si>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</si>
  <si>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</si>
  <si>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</si>
  <si>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</si>
  <si>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</si>
  <si>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</si>
  <si>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</si>
  <si>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</si>
  <si>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</si>
  <si>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</si>
  <si>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</si>
  <si>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</si>
  <si>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</si>
  <si>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</si>
  <si>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</si>
  <si>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</si>
  <si>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</si>
  <si>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</si>
  <si>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</si>
  <si>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</si>
  <si>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</si>
  <si>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</si>
  <si>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</si>
  <si>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</si>
  <si>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</si>
  <si>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</si>
  <si>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</si>
  <si>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</si>
  <si>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</si>
  <si>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</si>
  <si>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</si>
  <si>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</si>
  <si>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</si>
  <si>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</si>
  <si>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</si>
  <si>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</si>
  <si>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</si>
  <si>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</si>
  <si>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</si>
  <si>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</si>
  <si>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</si>
  <si>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</si>
  <si>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</si>
  <si>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</si>
  <si>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</si>
  <si>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</si>
  <si>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</si>
  <si>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</si>
  <si>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</si>
  <si>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</si>
  <si>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</si>
  <si>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</si>
  <si>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</si>
  <si>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</si>
  <si>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</si>
  <si>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</si>
  <si>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</si>
  <si>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</si>
  <si>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</si>
  <si>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</si>
  <si>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</si>
  <si>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</si>
  <si>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</si>
  <si>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</si>
  <si>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</si>
  <si>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</si>
  <si>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</si>
  <si>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</si>
  <si>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</si>
  <si>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</si>
  <si>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</si>
  <si>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</si>
  <si>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</si>
  <si>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</si>
  <si>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</si>
  <si>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</si>
  <si>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</si>
  <si>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</si>
  <si>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</si>
  <si>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</si>
  <si>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</si>
  <si>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</si>
  <si>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</si>
  <si>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</si>
  <si>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</si>
  <si>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</si>
  <si>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</si>
  <si>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</si>
  <si>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</si>
  <si>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</si>
  <si>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</si>
  <si>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</si>
  <si>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</si>
  <si>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</si>
  <si>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</si>
  <si>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</si>
  <si>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</si>
  <si>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</si>
  <si>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</si>
  <si>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</si>
  <si>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</si>
  <si>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</si>
  <si>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</si>
  <si>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</si>
  <si>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</si>
  <si>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</si>
  <si>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</si>
  <si>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</si>
  <si>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</si>
  <si>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</si>
  <si>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</si>
  <si>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</si>
  <si>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</si>
  <si>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</si>
  <si>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</si>
  <si>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</si>
  <si>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</si>
  <si>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</si>
  <si>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</si>
  <si>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</si>
  <si>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</si>
  <si>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</si>
  <si>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</si>
  <si>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</si>
  <si>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</si>
  <si>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</si>
  <si>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</si>
  <si>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</si>
  <si>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</si>
  <si>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</si>
  <si>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</si>
  <si>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</si>
  <si>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</si>
  <si>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</si>
  <si>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</si>
  <si>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</si>
  <si>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</si>
  <si>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</si>
  <si>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</si>
  <si>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</si>
  <si>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</si>
  <si>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</si>
  <si>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</si>
  <si>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</si>
  <si>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</si>
  <si>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</si>
  <si>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</si>
  <si>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</si>
  <si>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</si>
  <si>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</si>
  <si>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</si>
  <si>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</si>
  <si>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</si>
  <si>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</si>
  <si>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</si>
  <si>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</si>
  <si>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</si>
  <si>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</si>
  <si>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</si>
  <si>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</si>
  <si>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</si>
  <si>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</si>
  <si>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</si>
  <si>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</si>
  <si>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</si>
  <si>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</si>
  <si>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</si>
  <si>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</si>
  <si>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</si>
  <si>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</si>
  <si>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</si>
  <si>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</si>
  <si>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</si>
  <si>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</si>
  <si>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</si>
  <si>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</si>
  <si>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</si>
  <si>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</si>
  <si>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</si>
  <si>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</si>
  <si>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</si>
  <si>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</si>
  <si>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</si>
  <si>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</si>
  <si>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</si>
  <si>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</si>
  <si>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</si>
  <si>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</si>
  <si>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</si>
  <si>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</si>
  <si>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</si>
  <si>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</si>
  <si>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</si>
  <si>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</si>
  <si>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</si>
  <si>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</si>
  <si>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</si>
  <si>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</si>
  <si>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</si>
  <si>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</si>
  <si>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</si>
  <si>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</si>
  <si>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</si>
  <si>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</si>
  <si>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</si>
  <si>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</si>
  <si>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</si>
  <si>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</si>
  <si>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</si>
  <si>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</si>
  <si>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</si>
  <si>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</si>
  <si>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</si>
  <si>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</si>
  <si>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</si>
  <si>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</si>
  <si>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</si>
  <si>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</si>
  <si>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</si>
  <si>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</si>
  <si>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</si>
  <si>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</si>
  <si>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</si>
  <si>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</si>
  <si>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</si>
  <si>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</si>
  <si>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</si>
  <si>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</si>
  <si>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</si>
  <si>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</si>
  <si>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</si>
  <si>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</si>
  <si>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</si>
  <si>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</si>
  <si>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</si>
  <si>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</si>
  <si>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</si>
  <si>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</si>
  <si>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</si>
  <si>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</si>
  <si>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</si>
  <si>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</si>
  <si>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</si>
  <si>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</si>
  <si>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</si>
  <si>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</si>
  <si>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</si>
  <si>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</si>
  <si>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</si>
  <si>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</si>
  <si>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</si>
  <si>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</si>
  <si>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</si>
  <si>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</si>
  <si>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</si>
  <si>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</si>
  <si>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</si>
  <si>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</si>
  <si>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</si>
  <si>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</si>
  <si>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</si>
  <si>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</si>
  <si>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</si>
  <si>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</si>
  <si>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</si>
  <si>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</si>
  <si>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</si>
  <si>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</si>
  <si>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</si>
  <si>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</si>
  <si>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</si>
  <si>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</si>
  <si>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</si>
  <si>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</si>
  <si>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</si>
  <si>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</si>
  <si>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</si>
  <si>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</si>
  <si>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</si>
  <si>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</si>
  <si>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</si>
  <si>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</si>
  <si>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</si>
  <si>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</si>
  <si>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</si>
  <si>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</si>
  <si>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</si>
  <si>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</si>
  <si>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</si>
  <si>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</si>
  <si>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</si>
  <si>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</si>
  <si>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</si>
  <si>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</si>
  <si>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</si>
  <si>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</si>
  <si>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</si>
  <si>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</si>
  <si>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</si>
  <si>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</si>
  <si>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</si>
  <si>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</si>
  <si>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</si>
  <si>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</si>
  <si>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</si>
  <si>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</si>
  <si>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</si>
  <si>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</si>
  <si>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</si>
  <si>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</si>
  <si>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</si>
  <si>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</si>
  <si>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</si>
  <si>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</si>
  <si>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</si>
  <si>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</si>
  <si>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</si>
  <si>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</si>
  <si>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</si>
  <si>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</si>
  <si>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</si>
  <si>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</si>
  <si>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</si>
  <si>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</si>
  <si>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</si>
  <si>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</si>
  <si>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</si>
  <si>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</si>
  <si>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</si>
  <si>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</si>
  <si>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</si>
  <si>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</si>
  <si>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</si>
  <si>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</si>
  <si>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</si>
  <si>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</si>
  <si>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</si>
  <si>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</si>
  <si>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</si>
  <si>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</si>
  <si>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</si>
  <si>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</si>
  <si>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</si>
  <si>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</si>
  <si>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</si>
  <si>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</si>
  <si>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</si>
  <si>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</si>
  <si>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</si>
  <si>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</si>
  <si>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</si>
  <si>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</si>
  <si>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</si>
  <si>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</si>
  <si>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</si>
  <si>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</si>
  <si>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</si>
  <si>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</si>
  <si>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</si>
  <si>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</si>
  <si>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</si>
  <si>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</si>
  <si>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</si>
  <si>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</si>
  <si>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</si>
  <si>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</si>
  <si>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</si>
  <si>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</si>
  <si>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</si>
  <si>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</si>
  <si>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</si>
  <si>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</si>
  <si>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</si>
  <si>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</si>
  <si>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</si>
  <si>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</si>
  <si>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</si>
  <si>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</si>
  <si>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</si>
  <si>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</si>
  <si>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</si>
  <si>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</si>
  <si>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</si>
  <si>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</si>
  <si>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</si>
  <si>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</si>
  <si>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</si>
  <si>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</si>
  <si>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</si>
  <si>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</si>
  <si>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</si>
  <si>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</si>
  <si>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</si>
  <si>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</si>
  <si>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</si>
  <si>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</si>
  <si>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</si>
  <si>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</si>
  <si>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</si>
  <si>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</si>
  <si>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</si>
  <si>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</si>
  <si>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</si>
  <si>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</si>
  <si>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</si>
  <si>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</si>
  <si>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</si>
  <si>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</si>
  <si>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</si>
  <si>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</si>
  <si>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</si>
  <si>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</si>
  <si>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</si>
  <si>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</si>
  <si>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</si>
  <si>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</si>
  <si>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</si>
  <si>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</si>
  <si>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</si>
  <si>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</si>
  <si>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</si>
  <si>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</si>
  <si>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</si>
  <si>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</si>
  <si>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</si>
  <si>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</si>
  <si>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</si>
  <si>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</si>
  <si>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</si>
  <si>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</si>
  <si>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</si>
  <si>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</si>
  <si>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</si>
  <si>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</si>
  <si>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</si>
  <si>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</si>
  <si>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</si>
  <si>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</si>
  <si>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</si>
  <si>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</si>
  <si>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</si>
  <si>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</si>
  <si>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</si>
  <si>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</si>
  <si>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</si>
  <si>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</si>
  <si>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</si>
  <si>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</si>
  <si>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</si>
  <si>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</si>
  <si>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</si>
  <si>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</si>
  <si>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</si>
  <si>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</si>
  <si>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</si>
  <si>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</si>
  <si>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</si>
  <si>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</si>
  <si>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</si>
  <si>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</si>
  <si>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</si>
  <si>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</si>
  <si>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</si>
  <si>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</si>
  <si>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</si>
  <si>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</si>
  <si>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</si>
  <si>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</si>
  <si>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</si>
  <si>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</si>
  <si>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</si>
  <si>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</si>
  <si>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</si>
  <si>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</si>
  <si>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</si>
  <si>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</si>
  <si>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</si>
  <si>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</si>
  <si>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</si>
  <si>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</si>
  <si>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</si>
  <si>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</si>
  <si>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</si>
  <si>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</si>
  <si>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</si>
  <si>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</si>
  <si>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</si>
  <si>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</si>
  <si>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</si>
  <si>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</si>
  <si>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</si>
  <si>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</si>
  <si>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</si>
  <si>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</si>
  <si>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</si>
  <si>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</si>
  <si>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</si>
  <si>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</si>
  <si>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</si>
  <si>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</si>
  <si>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</si>
  <si>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</si>
  <si>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</si>
  <si>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</si>
  <si>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</si>
  <si>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</si>
  <si>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</si>
  <si>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</si>
  <si>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</si>
  <si>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</si>
  <si>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</si>
  <si>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</si>
  <si>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</si>
  <si>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</si>
  <si>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</si>
  <si>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</si>
  <si>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</si>
  <si>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</si>
  <si>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</si>
  <si>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</si>
  <si>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</si>
  <si>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</si>
  <si>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</si>
  <si>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</si>
  <si>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</si>
  <si>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</si>
  <si>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</si>
  <si>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</si>
  <si>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</si>
  <si>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</si>
  <si>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</si>
  <si>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</si>
  <si>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</si>
  <si>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</si>
  <si>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</si>
  <si>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</si>
  <si>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</si>
  <si>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</si>
  <si>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</si>
  <si>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</si>
  <si>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</si>
  <si>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</si>
  <si>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</si>
  <si>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</si>
  <si>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</si>
  <si>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</si>
  <si>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</si>
  <si>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</si>
  <si>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</si>
  <si>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</si>
  <si>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</si>
  <si>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</si>
  <si>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</si>
  <si>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</si>
  <si>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</si>
  <si>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</si>
  <si>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</si>
  <si>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</si>
  <si>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</si>
  <si>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</si>
  <si>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</si>
  <si>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</si>
  <si>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</si>
  <si>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</si>
  <si>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</si>
  <si>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</si>
  <si>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</si>
  <si>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</si>
  <si>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</si>
  <si>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</si>
  <si>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</si>
  <si>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</si>
  <si>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</si>
  <si>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</si>
  <si>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</si>
  <si>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</si>
  <si>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</si>
  <si>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</si>
  <si>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</si>
  <si>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</si>
  <si>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</si>
  <si>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</si>
  <si>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</si>
  <si>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</si>
  <si>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</si>
  <si>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</si>
  <si>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</si>
  <si>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</si>
  <si>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</si>
  <si>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</si>
  <si>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</si>
  <si>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</si>
  <si>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</si>
  <si>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</si>
  <si>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</si>
  <si>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</si>
  <si>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</si>
  <si>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</si>
  <si>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</si>
  <si>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</si>
  <si>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</si>
  <si>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</si>
  <si>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</si>
  <si>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</si>
  <si>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</si>
  <si>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</si>
  <si>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</si>
  <si>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</si>
  <si>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</si>
  <si>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</si>
  <si>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</si>
  <si>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</si>
  <si>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</si>
  <si>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</si>
  <si>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</si>
  <si>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</si>
  <si>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</si>
  <si>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</si>
  <si>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</si>
  <si>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</si>
  <si>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</si>
  <si>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</si>
  <si>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</si>
  <si>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</si>
  <si>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</si>
  <si>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</si>
  <si>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</si>
  <si>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</si>
  <si>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</si>
  <si>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</si>
  <si>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</si>
  <si>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</si>
  <si>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</si>
  <si>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</si>
  <si>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</si>
  <si>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</si>
  <si>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</si>
  <si>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</si>
  <si>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</si>
  <si>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</si>
  <si>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</si>
  <si>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</si>
  <si>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</si>
  <si>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</si>
  <si>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</si>
  <si>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</si>
  <si>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</si>
  <si>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</si>
  <si>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</si>
  <si>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</si>
  <si>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</si>
  <si>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</si>
  <si>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</si>
  <si>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</si>
  <si>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</si>
  <si>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</si>
  <si>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</si>
  <si>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</si>
  <si>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</si>
  <si>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</si>
  <si>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</si>
  <si>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</si>
  <si>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</si>
  <si>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</si>
  <si>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</si>
  <si>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</si>
  <si>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</si>
  <si>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</si>
  <si>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</si>
  <si>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</si>
  <si>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</si>
  <si>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</si>
  <si>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</si>
  <si>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</si>
  <si>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</si>
  <si>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</si>
  <si>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</si>
  <si>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</si>
  <si>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</si>
  <si>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</si>
  <si>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</si>
  <si>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</si>
  <si>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</si>
  <si>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</si>
  <si>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</si>
  <si>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</si>
  <si>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</si>
  <si>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</si>
  <si>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</si>
  <si>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</si>
  <si>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</si>
  <si>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</si>
  <si>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</si>
  <si>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</si>
  <si>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</si>
  <si>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</si>
  <si>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</si>
  <si>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</si>
  <si>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</si>
  <si>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</si>
  <si>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</si>
  <si>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</si>
  <si>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</si>
  <si>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</si>
  <si>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</si>
  <si>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</si>
  <si>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</si>
  <si>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</si>
  <si>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</si>
  <si>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</si>
  <si>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</si>
  <si>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</si>
  <si>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</si>
  <si>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</si>
  <si>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</si>
  <si>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</si>
  <si>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</si>
  <si>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</si>
  <si>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</si>
  <si>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</si>
  <si>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</si>
  <si>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</si>
  <si>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</si>
  <si>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</si>
  <si>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</si>
  <si>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</si>
  <si>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</si>
  <si>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</si>
  <si>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</si>
  <si>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</si>
  <si>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</si>
  <si>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</si>
  <si>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</si>
  <si>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</si>
  <si>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</si>
  <si>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</si>
  <si>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</si>
  <si>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</si>
  <si>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</si>
  <si>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</si>
  <si>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</si>
  <si>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</si>
  <si>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</si>
  <si>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</si>
  <si>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</si>
  <si>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</si>
  <si>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</si>
  <si>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</si>
  <si>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</si>
  <si>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</si>
  <si>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</si>
  <si>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</si>
  <si>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</si>
  <si>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</si>
  <si>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</si>
  <si>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</si>
  <si>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</si>
  <si>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</si>
  <si>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</si>
  <si>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</si>
  <si>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</si>
  <si>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</si>
  <si>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</si>
  <si>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</si>
  <si>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</si>
  <si>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</si>
  <si>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</si>
  <si>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</si>
  <si>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</si>
  <si>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</si>
  <si>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</si>
  <si>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</si>
  <si>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</si>
  <si>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</si>
  <si>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</si>
  <si>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</si>
  <si>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</si>
  <si>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</si>
  <si>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</si>
  <si>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</si>
  <si>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</si>
  <si>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</si>
  <si>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</si>
  <si>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</si>
  <si>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</si>
  <si>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</si>
  <si>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</si>
  <si>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</si>
  <si>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</si>
  <si>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</si>
  <si>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</si>
  <si>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</si>
  <si>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</si>
  <si>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</si>
  <si>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</si>
  <si>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</si>
  <si>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</si>
  <si>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</si>
  <si>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</si>
  <si>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</si>
  <si>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</si>
  <si>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</si>
  <si>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</si>
  <si>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</si>
  <si>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</si>
  <si>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</si>
  <si>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</si>
  <si>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</si>
  <si>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</si>
  <si>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</si>
  <si>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</si>
  <si>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</si>
  <si>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</si>
  <si>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</si>
  <si>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</si>
  <si>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</si>
  <si>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</si>
  <si>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</si>
  <si>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</si>
  <si>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</si>
  <si>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</si>
  <si>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</si>
  <si>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</si>
  <si>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</si>
  <si>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</si>
  <si>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</si>
  <si>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</si>
  <si>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</si>
  <si>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</si>
  <si>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</si>
  <si>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</si>
  <si>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</si>
  <si>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</si>
  <si>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</si>
  <si>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</si>
  <si>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</si>
  <si>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</si>
  <si>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</si>
  <si>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</si>
  <si>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</si>
  <si>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</si>
  <si>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</si>
  <si>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</si>
  <si>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</si>
  <si>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</si>
  <si>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</si>
  <si>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</si>
  <si>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</si>
  <si>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</si>
  <si>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</si>
  <si>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</si>
  <si>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</si>
  <si>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</si>
  <si>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</si>
  <si>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</si>
  <si>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</si>
  <si>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</si>
  <si>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</si>
  <si>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</si>
  <si>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</si>
  <si>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</si>
  <si>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</si>
  <si>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</si>
  <si>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</si>
  <si>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</si>
  <si>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</si>
  <si>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</si>
  <si>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</si>
  <si>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</si>
  <si>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</si>
  <si>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</si>
  <si>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</si>
  <si>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</si>
  <si>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</si>
  <si>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</si>
  <si>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</si>
  <si>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</si>
  <si>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</si>
  <si>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</si>
  <si>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</si>
  <si>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</si>
  <si>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</si>
  <si>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</si>
  <si>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</si>
  <si>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</si>
  <si>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</si>
  <si>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</si>
  <si>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</si>
  <si>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</si>
  <si>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</si>
  <si>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</si>
  <si>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</si>
  <si>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</si>
  <si>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</si>
  <si>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</si>
  <si>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</si>
  <si>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</si>
  <si>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</si>
  <si>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</si>
  <si>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</si>
  <si>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</si>
  <si>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</si>
  <si>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</si>
  <si>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</si>
  <si>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</si>
  <si>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</si>
  <si>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</si>
  <si>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</si>
  <si>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</si>
  <si>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</si>
  <si>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</si>
  <si>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</si>
  <si>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</si>
  <si>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</si>
  <si>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</si>
  <si>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</si>
  <si>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</si>
  <si>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</si>
  <si>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</si>
  <si>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</si>
  <si>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</si>
  <si>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</si>
  <si>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</si>
  <si>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</si>
  <si>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</si>
  <si>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</si>
  <si>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</si>
  <si>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</si>
  <si>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</si>
  <si>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</si>
  <si>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</si>
  <si>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</si>
  <si>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</si>
  <si>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</si>
  <si>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</si>
  <si>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</si>
  <si>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</si>
  <si>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</si>
  <si>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</si>
  <si>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</si>
  <si>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</si>
  <si>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</si>
  <si>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</si>
  <si>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</si>
  <si>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</si>
  <si>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</si>
  <si>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</si>
  <si>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</si>
  <si>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</si>
  <si>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</si>
  <si>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</si>
  <si>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</si>
  <si>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</si>
  <si>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</si>
  <si>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</si>
  <si>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</si>
  <si>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</si>
  <si>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</si>
  <si>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</si>
  <si>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</si>
  <si>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</si>
  <si>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</si>
  <si>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</si>
  <si>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</si>
  <si>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</si>
  <si>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</si>
  <si>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</si>
  <si>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</si>
  <si>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</si>
  <si>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</si>
  <si>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</si>
  <si>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</si>
  <si>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</si>
  <si>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</si>
  <si>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</si>
  <si>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</si>
  <si>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</si>
  <si>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</si>
  <si>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</si>
  <si>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</si>
  <si>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</si>
  <si>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</si>
  <si>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</si>
  <si>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</si>
  <si>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</si>
  <si>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</si>
  <si>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</si>
  <si>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</si>
  <si>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</si>
  <si>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</si>
  <si>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</si>
  <si>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</si>
  <si>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</si>
  <si>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</si>
  <si>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</si>
  <si>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</si>
  <si>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</si>
  <si>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</si>
  <si>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</si>
  <si>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</si>
  <si>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</si>
  <si>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</si>
  <si>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</si>
  <si>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</si>
  <si>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</si>
  <si>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</si>
  <si>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</si>
  <si>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</si>
  <si>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</si>
  <si>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</si>
  <si>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</si>
  <si>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</si>
  <si>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</si>
  <si>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</si>
  <si>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</si>
  <si>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</si>
  <si>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</si>
  <si>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</si>
  <si>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</si>
  <si>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</si>
  <si>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</si>
  <si>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</si>
  <si>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</si>
  <si>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</si>
  <si>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</si>
  <si>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</si>
  <si>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</si>
  <si>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</si>
  <si>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</si>
  <si>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2566 Gasket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</si>
  <si>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</si>
  <si>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</si>
  <si>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</si>
  <si>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</si>
  <si>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</si>
  <si>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</si>
  <si>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</si>
  <si>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</si>
  <si>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</si>
  <si>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</si>
  <si>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</si>
  <si>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</si>
  <si>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</si>
  <si>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</si>
  <si>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</si>
  <si>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</si>
  <si>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</si>
  <si>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</si>
  <si>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</si>
  <si>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</si>
  <si>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</si>
  <si>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</si>
  <si>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</si>
  <si>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</si>
  <si>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</si>
  <si>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</si>
  <si>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</si>
  <si>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</si>
  <si>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</si>
  <si>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</si>
  <si>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</si>
  <si>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</si>
  <si>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</si>
  <si>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</si>
  <si>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</si>
  <si>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</si>
  <si>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</si>
  <si>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</si>
  <si>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</si>
  <si>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</si>
  <si>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</si>
  <si>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</si>
  <si>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</si>
  <si>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</si>
  <si>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</si>
  <si>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</si>
  <si>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</si>
  <si>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</si>
  <si>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</si>
  <si>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</si>
  <si>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</si>
  <si>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</si>
  <si>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</si>
  <si>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</si>
  <si>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</si>
  <si>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</si>
  <si>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</si>
  <si>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</si>
  <si>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</si>
  <si>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</si>
  <si>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</si>
  <si>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</si>
  <si>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</si>
  <si>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</si>
  <si>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</si>
  <si>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</si>
  <si>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</si>
  <si>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</si>
  <si>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</si>
  <si>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</si>
  <si>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</si>
  <si>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</si>
  <si>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</si>
  <si>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</si>
  <si>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</si>
  <si>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</si>
  <si>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</si>
  <si>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</si>
  <si>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</si>
  <si>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</si>
  <si>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</si>
  <si>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</si>
  <si>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</si>
  <si>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</si>
  <si>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▼ [Lattice]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</si>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</sst>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21" sqref="A21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254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>20ftW X 10ftH  Aluminium &amp; Glass Standard 7 Panel Supply &amp; Delivery CTW / SF Partition / Z-Louvre W/G Z-Louvre Blade - 5" Z-Louvre Blade - 5" ▼ [Lattice]</v>
      </c>
      <c r="M2" s="125" t="str">
        <f>IF(A11="","",A11)</f>
        <v>Set</v>
      </c>
      <c r="N2" s="125">
        <f>IF(B11="","",B11)</f>
        <v>1</v>
      </c>
      <c r="O2" s="126">
        <f>IF(B37="","",B37)</f>
        <v>17991.532524807055</v>
      </c>
      <c r="P2" s="126">
        <f>IF(OR(NOT(ISNUMBER(N2)),NOT(ISNUMBER(O2))),"",N2*O2)</f>
        <v>17991.532524807055</v>
      </c>
      <c r="Q2" s="34"/>
      <c r="AC2" s="82"/>
    </row>
    <row r="3" spans="1:30" x14ac:dyDescent="0.25">
      <c r="A3" s="46" t="s">
        <v>79</v>
      </c>
      <c r="B3" s="27">
        <v>20</v>
      </c>
      <c r="C3" s="47"/>
      <c r="D3" s="50" t="s">
        <v>823</v>
      </c>
      <c r="E3" s="48" t="s">
        <v>1783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60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11.47</v>
      </c>
      <c r="I4" s="5">
        <f>IF(AND(ISNUMBER(F4), ISNUMBER(H4)), F4*H4, "")</f>
        <v>688.2</v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60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11.47</v>
      </c>
      <c r="I5" s="5">
        <f t="shared" ref="I5:I30" si="0">IF(AND(ISNUMBER(F5), ISNUMBER(H5)), F5*H5, "")</f>
        <v>688.2</v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20</v>
      </c>
      <c r="C6" s="1"/>
      <c r="D6" t="str" cm="1">
        <f t="array" ref="D6">IFERROR(INDEX(CalcEngine!R:R,SMALL(CalcEngine!P:P,ROW()-3)),"")</f>
        <v>Horizontal Mullion ↔</v>
      </c>
      <c r="E6" s="25"/>
      <c r="F6" s="52" cm="1">
        <f t="array" ref="F6">IF(D6="","",MAX(0,IFERROR(INDEX(CalcEngine!V:V,SMALL(CalcEngine!P:P,ROW()-3)),0)+N(E6)))</f>
        <v>20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11.47</v>
      </c>
      <c r="I6" s="5">
        <f t="shared" si="0"/>
        <v>229.4</v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>⬒ Z-Louvre Blade - 5"</v>
      </c>
      <c r="E7" s="25"/>
      <c r="F7" s="52" cm="1">
        <f t="array" ref="F7">IF(D7="","",MAX(0,IFERROR(INDEX(CalcEngine!V:V,SMALL(CalcEngine!P:P,ROW()-3)),0)+N(E7)))</f>
        <v>200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31.774000000000001</v>
      </c>
      <c r="I7" s="5">
        <f t="shared" si="0"/>
        <v>6354.8</v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Angle Bracket</v>
      </c>
      <c r="E8" s="25"/>
      <c r="F8" s="52" cm="1">
        <f t="array" ref="F8">IF(D8="","",MAX(0,IFERROR(INDEX(CalcEngine!V:V,SMALL(CalcEngine!P:P,ROW()-3)),0)+N(E8)))</f>
        <v>32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0.13</v>
      </c>
      <c r="I8" s="5">
        <f t="shared" si="0"/>
        <v>4.16</v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200</v>
      </c>
      <c r="C9" s="1"/>
      <c r="D9" t="str" cm="1">
        <f t="array" ref="D9">IFERROR(INDEX(CalcEngine!R:R,SMALL(CalcEngine!P:P,ROW()-3)),"")</f>
        <v>1.5" x 2 Black Tape</v>
      </c>
      <c r="E9" s="25"/>
      <c r="F9" s="52" cm="1">
        <f t="array" ref="F9">IF(D9="","",MAX(0,IFERROR(INDEX(CalcEngine!V:V,SMALL(CalcEngine!P:P,ROW()-3)),0)+N(E9)))</f>
        <v>240</v>
      </c>
      <c r="G9" s="2" t="str" cm="1">
        <f t="array" ref="G9">IFERROR(INDEX(CalcEngine!U:U,SMALL(CalcEngine!P:P,ROW()-3)),"")</f>
        <v>Ft</v>
      </c>
      <c r="H9" s="5" cm="1">
        <f t="array" ref="H9">IFERROR(INDEX(CalcEngine!W:W,SMALL(CalcEngine!P:P,ROW()-3)),"")</f>
        <v>0.2</v>
      </c>
      <c r="I9" s="5">
        <f t="shared" si="0"/>
        <v>48</v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Sealant</v>
      </c>
      <c r="E10" s="25"/>
      <c r="F10" s="52" cm="1">
        <f t="array" ref="F10">IF(D10="","",MAX(0,IFERROR(INDEX(CalcEngine!V:V,SMALL(CalcEngine!P:P,ROW()-3)),0)+N(E10)))</f>
        <v>1464</v>
      </c>
      <c r="G10" s="2" t="str" cm="1">
        <f t="array" ref="G10">IFERROR(INDEX(CalcEngine!U:U,SMALL(CalcEngine!P:P,ROW()-3)),"")</f>
        <v>ML</v>
      </c>
      <c r="H10" s="5" cm="1">
        <f t="array" ref="H10">IFERROR(INDEX(CalcEngine!W:W,SMALL(CalcEngine!P:P,ROW()-3)),"")</f>
        <v>0.1</v>
      </c>
      <c r="I10" s="5">
        <f t="shared" si="0"/>
        <v>146.4</v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7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_xlpm.srcN,CalcEngine!$N$2:$N$5000,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1000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1848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1992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1815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 t="s">
        <v>1973</v>
      </c>
      <c r="B20" s="222" t="s">
        <v>2002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 t="s">
        <v>1973</v>
      </c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 t="s">
        <v>1969</v>
      </c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2">
        <v>0</v>
      </c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>
        <v>0</v>
      </c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3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8159.16</v>
      </c>
      <c r="P25" s="193"/>
    </row>
    <row r="26" spans="1:17" x14ac:dyDescent="0.25">
      <c r="A26" s="423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_xlpm.srcM,CalcEngine!$M$2:$M$5000,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_xlpm.rOld,IF(OR(_xlpm.grp="VITALLY",_xlpm.grp="METAL WORK"),
        IFERROR(_xlfn.XLOOKUP(1,(_xlpm.srcA=_xlpm.grp)*(_xlpm.srcC=_xlpm.prd)*(_xlpm.srcM&lt;&gt;""),_xlpm.srcM,0),0),
        IFERROR(_xlfn.XLOOKUP(1,(_xlpm.srcA=_xlpm.grp)*(_xlpm.srcB=_xlpm.svc)*(_xlpm.srcM&lt;&gt;""),_xlpm.srcM,0),0)),
IF(_xlpm.pickPos&lt;&gt;"",INDEX(_xlpm.blkM,_xlpm.pickPos),
IF(_xlpm.defPos&lt;&gt;"",INDEX(_xlpm.blkM,_xlpm.defPos),
_xlpm.rOld))-IFERROR(B34,0)
)</f>
        <v>0.54649999999999999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8159.16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40.7958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>
        <f>IF(AND(ISNUMBER(B37), ISNUMBER(B9), B9&lt;&gt;0), B37/B9, "")</f>
        <v>89.957662624035279</v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>
        <f>IF(AND(ISNUMBER(B33), ISNUMBER(B32), B33&lt;&gt;0, B32&lt;&gt;1), B33/(1-B32), "")</f>
        <v>17991.532524807055</v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>
        <f>IF(OR(B37="",B33=""),"",IFERROR(IF(B37-B33=0,"-",B37-B33),""))</f>
        <v>9832.372524807055</v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407.95799999999997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>
        <f>IF(OR($B$37="",$B$6=""),"",IFERROR($B$37/$B$6,""))</f>
        <v>899.57662624035277</v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559.92000000000007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2003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8159.16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-2.7087090909090907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14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56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90"/>
  <sheetViews>
    <sheetView tabSelected="1" topLeftCell="A52" zoomScale="75" zoomScaleNormal="75" workbookViewId="0">
      <selection activeCell="P91" sqref="P9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5" width="9.140625" style="370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70"/>
  </cols>
  <sheetData>
    <row r="1" spans="1:23" x14ac:dyDescent="0.25">
      <c r="A1" s="375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 t="s">
        <v>1864</v>
      </c>
      <c r="Q1" s="409" t="s">
        <v>1810</v>
      </c>
      <c r="R1" s="428"/>
      <c r="S1" s="409" t="s">
        <v>1756</v>
      </c>
      <c r="T1" s="409" t="s">
        <v>1790</v>
      </c>
      <c r="U1" s="409" t="s">
        <v>102</v>
      </c>
      <c r="V1" s="409" t="s">
        <v>1845</v>
      </c>
      <c r="W1" s="410" t="s">
        <v>430</v>
      </c>
    </row>
    <row r="2" spans="1:23" x14ac:dyDescent="0.25">
      <c r="A2" s="275"/>
      <c r="M2" s="411"/>
      <c r="P2" s="1" t="s">
        <v>1865</v>
      </c>
      <c r="Q2" s="1" t="s">
        <v>1811</v>
      </c>
      <c r="S2" s="1" t="s">
        <v>1929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00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5"/>
      <c r="P3" s="1" t="str">
        <f>IF(OR(TRIM($A3)&lt;&gt;TRIM(Enginuity!$A$1),TRIM($C3)&lt;&gt;TRIM(Enginuity!$A$18),TRIM($U3)="",$V3="",$V3=0,$W3="",$W3=0),"",ROW())</f>
        <v/>
      </c>
      <c r="Q3" s="1" t="s">
        <v>1875</v>
      </c>
      <c r="R3" s="16" t="s">
        <v>1934</v>
      </c>
      <c r="S3" s="1">
        <v>6154</v>
      </c>
      <c r="T3" s="16" t="s">
        <v>1877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00" cm="1">
        <f t="array" ref="W3">IF(INDEX($S:$S,ROW())="","",IFERROR(_xlfn.XLOOKUP(INDEX($S:$S,ROW()),CostData!$U$22:$U$1000,CostData!$AC$22:$AC$1000,""),""))</f>
        <v>0.30000000000000004</v>
      </c>
    </row>
    <row r="4" spans="1:23" x14ac:dyDescent="0.25">
      <c r="A4" s="275"/>
      <c r="P4" s="1" t="str">
        <f>IF(OR(TRIM($A4)&lt;&gt;TRIM(Enginuity!$A$1),TRIM($C4)&lt;&gt;TRIM(Enginuity!$A$18),TRIM($U4)="",$V4="",$V4=0,$W4="",$W4=0),"",ROW())</f>
        <v/>
      </c>
      <c r="S4" s="1"/>
      <c r="T4" s="16"/>
      <c r="W4" s="400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5"/>
      <c r="P5" s="1" t="str">
        <f>IF(OR(TRIM($A5)&lt;&gt;TRIM(Enginuity!$A$1),TRIM($C5)&lt;&gt;TRIM(Enginuity!$A$18),TRIM($U5)="",$V5="",$V5=0,$W5="",$W5=0),"",ROW())</f>
        <v/>
      </c>
      <c r="S5" s="1"/>
      <c r="T5" s="16"/>
      <c r="W5" s="40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5"/>
      <c r="P6" s="1" t="s">
        <v>1993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1995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1500</v>
      </c>
      <c r="W6" s="400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5"/>
      <c r="P7" s="1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1996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140</v>
      </c>
      <c r="W7" s="400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5"/>
      <c r="P8" s="1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400">
        <f>IFERROR(SUMPRODUCT(V6:V7,W6:W7)/Enginuity!$B$9,"")</f>
        <v>28.661999999999999</v>
      </c>
    </row>
    <row r="9" spans="1:23" x14ac:dyDescent="0.25">
      <c r="A9" s="275"/>
      <c r="P9" s="1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1994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640</v>
      </c>
      <c r="W9" s="400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5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1999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140</v>
      </c>
      <c r="W10" s="400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5"/>
      <c r="S11" s="1"/>
      <c r="W11" s="400">
        <f>IFERROR(SUMPRODUCT(V9:V10,W9:W10)/Enginuity!$B$9,"")</f>
        <v>31.774000000000001</v>
      </c>
    </row>
    <row r="12" spans="1:23" x14ac:dyDescent="0.25">
      <c r="A12" s="275"/>
      <c r="S12" s="1"/>
      <c r="W12" s="400" t="str" cm="1">
        <f t="array" ref="W12">IF(INDEX($S:$S,ROW())="","",IFERROR(_xlfn.XLOOKUP(INDEX($S:$S,ROW()),CostData!$U$22:$U$1000,CostData!$AC$22:$AC$1000,""),""))</f>
        <v/>
      </c>
    </row>
    <row r="13" spans="1:23" x14ac:dyDescent="0.25">
      <c r="A13" s="275"/>
      <c r="S13" s="1"/>
      <c r="W13" s="400" t="str" cm="1">
        <f t="array" ref="W13">IF(INDEX($S:$S,ROW())="","",IFERROR(_xlfn.XLOOKUP(INDEX($S:$S,ROW()),CostData!$U$22:$U$1000,CostData!$AC$22:$AC$1000,""),""))</f>
        <v/>
      </c>
    </row>
    <row r="14" spans="1:23" x14ac:dyDescent="0.25">
      <c r="A14" s="275"/>
      <c r="S14" s="1"/>
      <c r="W14" s="400" t="str" cm="1">
        <f t="array" ref="W14">IF(INDEX($S:$S,ROW())="","",IFERROR(_xlfn.XLOOKUP(INDEX($S:$S,ROW()),CostData!$U$22:$U$1000,CostData!$AC$22:$AC$1000,""),""))</f>
        <v/>
      </c>
    </row>
    <row r="15" spans="1:23" x14ac:dyDescent="0.25">
      <c r="A15" s="275"/>
      <c r="P15" s="1" t="str">
        <f>IF(OR(TRIM($A15)&lt;&gt;TRIM(Enginuity!$A$1),TRIM($C15)&lt;&gt;TRIM(Enginuity!$A$18),TRIM($U15)="",$V15="",$V15=0,$W15="",$W15=0),"",ROW())</f>
        <v/>
      </c>
      <c r="S15" s="1"/>
      <c r="W15" s="400" t="str" cm="1">
        <f t="array" ref="W15">IF(INDEX($S:$S,ROW())="","",IFERROR(_xlfn.XLOOKUP(INDEX($S:$S,ROW()),CostData!$U$22:$U$1000,CostData!$AC$22:$AC$1000,""),""))</f>
        <v/>
      </c>
    </row>
    <row r="16" spans="1:23" x14ac:dyDescent="0.25">
      <c r="A16" s="275"/>
      <c r="P16" s="1" t="str">
        <f>IF(OR(TRIM($A16)&lt;&gt;TRIM(Enginuity!$A$1),TRIM($C16)&lt;&gt;TRIM(Enginuity!$A$18),TRIM($U16)="",$V16="",$V16=0,$W16="",$W16=0),"",ROW())</f>
        <v/>
      </c>
      <c r="S16" s="1"/>
      <c r="W16" s="400" t="str" cm="1">
        <f t="array" ref="W16">IF(OR(TRIM(CalcEngine!$A16)&lt;&gt;TRIM(Enginuity!$A$1),TRIM(CalcEngine!$C16)&lt;&gt;TRIM(Enginuity!$A$18),CalcEngine!$V16="",CalcEngine!$V16=0),"",IFERROR(_xlfn.XLOOKUP(1,(TRIM(CostData!$B$22:$B$1000)="Aluminium")*(TRIM(CostData!$C$22:$C$1000)="CWS")*(TRIM(CostData!$E$22:$E$1000)=TRIM(CalcEngine!$T16)),_xlfn.SWITCH(TRIM(Enginuity!$A$19),"N/A",CostData!$H$22:$H$1000,"M/B",CostData!$I$22:$I$1000,"P/C",CostData!$J$22:$J$1000,"W/G",CostData!$K$22:$K$1000,""),""),""))</f>
        <v/>
      </c>
    </row>
    <row r="17" spans="1:23" x14ac:dyDescent="0.25">
      <c r="A17" s="275"/>
      <c r="P17" s="1" t="str">
        <f>IF(OR(TRIM($A17)&lt;&gt;TRIM(Enginuity!$A$1),TRIM($C17)&lt;&gt;TRIM(Enginuity!$A$18),TRIM($U17)="",$V17="",$V17=0,$W17="",$W17=0),"",ROW())</f>
        <v/>
      </c>
      <c r="S17" s="1"/>
      <c r="W17" s="400" t="str" cm="1">
        <f t="array" ref="W17">IF(OR(TRIM(CalcEngine!$A17)&lt;&gt;TRIM(Enginuity!$A$1),TRIM(CalcEngine!$C17)&lt;&gt;TRIM(Enginuity!$A$18),CalcEngine!$V17="",CalcEngine!$V17=0),"",IFERROR(_xlfn.XLOOKUP(1,(TRIM(CostData!$B$22:$B$1000)="Aluminium")*(TRIM(CostData!$C$22:$C$1000)="CWS")*(TRIM(CostData!$E$22:$E$1000)=TRIM(CalcEngine!$T17)),_xlfn.SWITCH(TRIM(Enginuity!$A$19),"N/A",CostData!$H$22:$H$1000,"M/B",CostData!$I$22:$I$1000,"P/C",CostData!$J$22:$J$1000,"W/G",CostData!$K$22:$K$1000,""),""),""))</f>
        <v/>
      </c>
    </row>
    <row r="18" spans="1:23" x14ac:dyDescent="0.25">
      <c r="A18" s="275"/>
      <c r="P18" s="1" t="str">
        <f>IF(OR(TRIM($A18)&lt;&gt;TRIM(Enginuity!$A$1),TRIM($C18)&lt;&gt;TRIM(Enginuity!$A$18),TRIM($U18)="",$V18="",$V18=0,$W18="",$W18=0),"",ROW())</f>
        <v/>
      </c>
      <c r="S18" s="1"/>
      <c r="W18" s="400" t="str" cm="1">
        <f t="array" ref="W18">IF(OR(TRIM(CalcEngine!$A18)&lt;&gt;TRIM(Enginuity!$A$1),TRIM(CalcEngine!$C18)&lt;&gt;TRIM(Enginuity!$A$18),CalcEngine!$V18="",CalcEngine!$V18=0),"",IFERROR(_xlfn.XLOOKUP(1,(TRIM(CostData!$B$22:$B$1000)="Aluminium")*(TRIM(CostData!$C$22:$C$1000)="CWS")*(TRIM(CostData!$E$22:$E$1000)=TRIM(CalcEngine!$T18)),_xlfn.SWITCH(TRIM(Enginuity!$A$19),"N/A",CostData!$H$22:$H$1000,"M/B",CostData!$I$22:$I$1000,"P/C",CostData!$J$22:$J$1000,"W/G",CostData!$K$22:$K$1000,""),""),""))</f>
        <v/>
      </c>
    </row>
    <row r="19" spans="1:23" x14ac:dyDescent="0.25">
      <c r="A19" s="275"/>
      <c r="P19" s="1" t="str">
        <f>IF(OR(TRIM($A19)&lt;&gt;TRIM(Enginuity!$A$1),TRIM($C19)&lt;&gt;TRIM(Enginuity!$A$18),TRIM($U19)="",$V19="",$V19=0,$W19="",$W19=0),"",ROW())</f>
        <v/>
      </c>
      <c r="S19" s="1"/>
      <c r="W19" s="400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5"/>
      <c r="P20" s="1" t="str">
        <f>IF(OR(TRIM($A20)&lt;&gt;TRIM(Enginuity!$A$1),TRIM($C20)&lt;&gt;TRIM(Enginuity!$A$18),TRIM($U20)="",$V20="",$V20=0,$W20="",$W20=0),"",ROW())</f>
        <v/>
      </c>
      <c r="S20" s="1"/>
      <c r="W20" s="400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5"/>
      <c r="P21" s="1" t="str">
        <f>IF(OR(TRIM($A21)&lt;&gt;TRIM(Enginuity!$A$1),TRIM($C21)&lt;&gt;TRIM(Enginuity!$A$18),TRIM($U21)="",$V21="",$V21=0,$W21="",$W21=0),"",ROW())</f>
        <v/>
      </c>
      <c r="S21" s="1"/>
      <c r="W21" s="400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5"/>
      <c r="P22" s="1" t="str">
        <f>IF(OR(TRIM($A22)&lt;&gt;TRIM(Enginuity!$A$1),TRIM($C22)&lt;&gt;TRIM(Enginuity!$A$18),TRIM($U22)="",$V22="",$V22=0,$W22="",$W22=0),"",ROW())</f>
        <v/>
      </c>
      <c r="S22" s="1"/>
      <c r="W22" s="400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5"/>
      <c r="P23" s="1" t="str">
        <f>IF(OR(TRIM($A23)&lt;&gt;TRIM(Enginuity!$A$1),TRIM($C23)&lt;&gt;TRIM(Enginuity!$A$18),TRIM($U23)="",$V23="",$V23=0,$W23="",$W23=0),"",ROW())</f>
        <v/>
      </c>
      <c r="S23" s="1"/>
      <c r="W23" s="400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5"/>
      <c r="P24" s="1" t="str">
        <f>IF(OR(TRIM($A24)&lt;&gt;TRIM(Enginuity!$A$1),TRIM($C24)&lt;&gt;TRIM(Enginuity!$A$18),TRIM($U24)="",$V24="",$V24=0,$W24="",$W24=0),"",ROW())</f>
        <v/>
      </c>
      <c r="S24" s="1"/>
      <c r="W24" s="400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5"/>
      <c r="P25" s="1" t="str">
        <f>IF(OR(TRIM($A25)&lt;&gt;TRIM(Enginuity!$A$1),TRIM($C25)&lt;&gt;TRIM(Enginuity!$A$18),TRIM($U25)="",$V25="",$V25=0,$W25="",$W25=0),"",ROW())</f>
        <v/>
      </c>
      <c r="S25" s="1"/>
      <c r="W25" s="400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5"/>
      <c r="P26" s="1" t="str">
        <f>IF(OR(TRIM($A26)&lt;&gt;TRIM(Enginuity!$A$1),TRIM($C26)&lt;&gt;TRIM(Enginuity!$A$18),TRIM($U26)="",$V26="",$V26=0,$W26="",$W26=0),"",ROW())</f>
        <v/>
      </c>
      <c r="S26" s="1"/>
      <c r="W26" s="400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5"/>
      <c r="P27" s="1" t="str">
        <f>IF(OR(TRIM($A27)&lt;&gt;TRIM(Enginuity!$A$1),TRIM($C27)&lt;&gt;TRIM(Enginuity!$A$18),TRIM($U27)="",$V27="",$V27=0,$W27="",$W27=0),"",ROW())</f>
        <v/>
      </c>
      <c r="S27" s="1"/>
      <c r="W27" s="400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5"/>
      <c r="P28" s="1" t="str">
        <f>IF(OR(TRIM($A28)&lt;&gt;TRIM(Enginuity!$A$1),TRIM($C28)&lt;&gt;TRIM(Enginuity!$A$18),TRIM($U28)="",$V28="",$V28=0,$W28="",$W28=0),"",ROW())</f>
        <v/>
      </c>
      <c r="S28" s="1"/>
      <c r="W28" s="400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5"/>
      <c r="P29" s="1" t="str">
        <f>IF(OR(TRIM($A29)&lt;&gt;TRIM(Enginuity!$A$1),TRIM($C29)&lt;&gt;TRIM(Enginuity!$A$18),TRIM($U29)="",$V29="",$V29=0,$W29="",$W29=0),"",ROW())</f>
        <v/>
      </c>
      <c r="S29" s="1"/>
      <c r="W29" s="400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5"/>
      <c r="P30" s="1" t="str">
        <f>IF(OR(TRIM($A30)&lt;&gt;TRIM(Enginuity!$A$1),TRIM($C30)&lt;&gt;TRIM(Enginuity!$A$18),TRIM($U30)="",$V30="",$V30=0,$W30="",$W30=0),"",ROW())</f>
        <v/>
      </c>
      <c r="S30" s="1"/>
      <c r="W30" s="400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7"/>
    </row>
    <row r="32" spans="1:23" x14ac:dyDescent="0.25">
      <c r="A32" s="275"/>
      <c r="M32" s="411"/>
      <c r="S32" s="1"/>
      <c r="W32" s="400"/>
    </row>
    <row r="33" spans="1:23" x14ac:dyDescent="0.25">
      <c r="A33" s="275"/>
      <c r="S33" s="1"/>
      <c r="W33" s="400"/>
    </row>
    <row r="34" spans="1:23" x14ac:dyDescent="0.25">
      <c r="A34" s="275"/>
      <c r="S34" s="1"/>
      <c r="W34" s="400"/>
    </row>
    <row r="35" spans="1:23" x14ac:dyDescent="0.25">
      <c r="A35" s="275"/>
      <c r="S35" s="1"/>
      <c r="W35" s="400"/>
    </row>
    <row r="36" spans="1:23" x14ac:dyDescent="0.25">
      <c r="A36" s="275"/>
      <c r="S36" s="1"/>
      <c r="W36" s="400"/>
    </row>
    <row r="37" spans="1:23" x14ac:dyDescent="0.25">
      <c r="A37" s="275"/>
      <c r="P37" s="1" t="str">
        <f>IF(OR(TRIM($A37)&lt;&gt;TRIM(Enginuity!$A$1),TRIM($C37)&lt;&gt;TRIM(Enginuity!$A$18),TRIM($U37)="",$V37="",$V37=0,$W37="",$W37=0),"",ROW())</f>
        <v/>
      </c>
      <c r="S37" s="1"/>
      <c r="W37" s="400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5"/>
      <c r="P38" s="1" t="str">
        <f>IF(OR(TRIM($A38)&lt;&gt;TRIM(Enginuity!$A$1),TRIM($C38)&lt;&gt;TRIM(Enginuity!$A$18),TRIM($U38)="",$V38="",$V38=0,$W38="",$W38=0),"",ROW())</f>
        <v/>
      </c>
      <c r="S38" s="1"/>
      <c r="W38" s="400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5"/>
      <c r="P39" s="1" t="str">
        <f>IF(OR(TRIM($A39)&lt;&gt;TRIM(Enginuity!$A$1),TRIM($C39)&lt;&gt;TRIM(Enginuity!$A$18),TRIM($U39)="",$V39="",$V39=0,$W39="",$W39=0),"",ROW())</f>
        <v/>
      </c>
      <c r="S39" s="1"/>
      <c r="W39" s="400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5"/>
      <c r="S40" s="1"/>
      <c r="W40" s="400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5"/>
      <c r="S41" s="1"/>
      <c r="W41" s="400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5"/>
      <c r="S42" s="1"/>
      <c r="W42" s="400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5"/>
      <c r="S43" s="1"/>
      <c r="W43" s="400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5"/>
      <c r="S44" s="1"/>
      <c r="W44" s="400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5"/>
      <c r="P45" s="1" t="str">
        <f>IF(OR(TRIM($A45)&lt;&gt;TRIM(Enginuity!$A$1),TRIM($C45)&lt;&gt;TRIM(Enginuity!$A$18),TRIM($U45)="",$V45="",$V45=0,$W45="",$W45=0),"",ROW())</f>
        <v/>
      </c>
      <c r="S45" s="1"/>
      <c r="W45" s="400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5"/>
      <c r="P46" s="1" t="str">
        <f>IF(OR(TRIM($A46)&lt;&gt;TRIM(Enginuity!$A$1),TRIM($C46)&lt;&gt;TRIM(Enginuity!$A$18),TRIM($U46)="",$V46="",$V46=0,$W46="",$W46=0),"",ROW())</f>
        <v/>
      </c>
      <c r="S46" s="1"/>
      <c r="W46" s="400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5"/>
      <c r="P47" s="1" t="str">
        <f>IF(OR(TRIM($A47)&lt;&gt;TRIM(Enginuity!$A$1),TRIM($C47)&lt;&gt;TRIM(Enginuity!$A$18),TRIM($U47)="",$V47="",$V47=0,$W47="",$W47=0),"",ROW())</f>
        <v/>
      </c>
      <c r="S47" s="1"/>
      <c r="W47" s="400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5"/>
      <c r="P48" s="1" t="str">
        <f>IF(OR(TRIM($A48)&lt;&gt;TRIM(Enginuity!$A$1),TRIM($C48)&lt;&gt;TRIM(Enginuity!$A$18),TRIM($U48)="",$V48="",$V48=0,$W48="",$W48=0),"",ROW())</f>
        <v/>
      </c>
      <c r="S48" s="1"/>
      <c r="W48" s="400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5"/>
      <c r="P49" s="1" t="str">
        <f>IF(OR(TRIM($A49)&lt;&gt;TRIM(Enginuity!$A$1),TRIM($C49)&lt;&gt;TRIM(Enginuity!$A$18),TRIM($U49)="",$V49="",$V49=0,$W49="",$W49=0),"",ROW())</f>
        <v/>
      </c>
      <c r="S49" s="1"/>
      <c r="W49" s="400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5"/>
      <c r="P50" s="1" t="str">
        <f>IF(OR(TRIM($A50)&lt;&gt;TRIM(Enginuity!$A$1),TRIM($C50)&lt;&gt;TRIM(Enginuity!$A$18),TRIM($U50)="",$V50="",$V50=0,$W50="",$W50=0),"",ROW())</f>
        <v/>
      </c>
      <c r="S50" s="1"/>
      <c r="W50" s="400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5"/>
      <c r="P51" s="1" t="str">
        <f>IF(OR(TRIM($A51)&lt;&gt;TRIM(Enginuity!$A$1),TRIM($C51)&lt;&gt;TRIM(Enginuity!$A$18),TRIM($U51)="",$V51="",$V51=0,$W51="",$W51=0),"",ROW())</f>
        <v/>
      </c>
      <c r="S51" s="1"/>
      <c r="W51" s="400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5"/>
      <c r="P52" s="1" t="str">
        <f>IF(OR(TRIM($A52)&lt;&gt;TRIM(Enginuity!$A$1),TRIM($C52)&lt;&gt;TRIM(Enginuity!$A$18),TRIM($U52)="",$V52="",$V52=0,$W52="",$W52=0),"",ROW())</f>
        <v/>
      </c>
      <c r="S52" s="1"/>
      <c r="W52" s="400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5"/>
      <c r="P53" s="1" t="str">
        <f>IF(OR(TRIM($A53)&lt;&gt;TRIM(Enginuity!$A$1),TRIM($C53)&lt;&gt;TRIM(Enginuity!$A$18),TRIM($U53)="",$V53="",$V53=0,$W53="",$W53=0),"",ROW())</f>
        <v/>
      </c>
      <c r="S53" s="1"/>
      <c r="W53" s="400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5"/>
      <c r="P54" s="1" t="str">
        <f>IF(OR(TRIM($A54)&lt;&gt;TRIM(Enginuity!$A$1),TRIM($C54)&lt;&gt;TRIM(Enginuity!$A$18),TRIM($U54)="",$V54="",$V54=0,$W54="",$W54=0),"",ROW())</f>
        <v/>
      </c>
      <c r="S54" s="1"/>
      <c r="W54" s="400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5"/>
      <c r="P55" s="1" t="str">
        <f>IF(OR(TRIM($A55)&lt;&gt;TRIM(Enginuity!$A$1),TRIM($C55)&lt;&gt;TRIM(Enginuity!$A$18),TRIM($U55)="",$V55="",$V55=0,$W55="",$W55=0),"",ROW())</f>
        <v/>
      </c>
      <c r="S55" s="1"/>
      <c r="W55" s="400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5"/>
      <c r="P56" s="1" t="str">
        <f>IF(OR(TRIM($A56)&lt;&gt;TRIM(Enginuity!$A$1),TRIM($C56)&lt;&gt;TRIM(Enginuity!$A$18),TRIM($U56)="",$V56="",$V56=0,$W56="",$W56=0),"",ROW())</f>
        <v/>
      </c>
      <c r="S56" s="1"/>
      <c r="W56" s="400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5"/>
      <c r="P57" s="1" t="str">
        <f>IF(OR(TRIM($A57)&lt;&gt;TRIM(Enginuity!$A$1),TRIM($C57)&lt;&gt;TRIM(Enginuity!$A$18),TRIM($U57)="",$V57="",$V57=0,$W57="",$W57=0),"",ROW())</f>
        <v/>
      </c>
      <c r="S57" s="1"/>
      <c r="W57" s="400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5"/>
      <c r="P58" s="1" t="str">
        <f>IF(OR(TRIM($A58)&lt;&gt;TRIM(Enginuity!$A$1),TRIM($C58)&lt;&gt;TRIM(Enginuity!$A$18),TRIM($U58)="",$V58="",$V58=0,$W58="",$W58=0),"",ROW())</f>
        <v/>
      </c>
      <c r="S58" s="1"/>
      <c r="W58" s="400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5"/>
      <c r="P59" s="1" t="str">
        <f>IF(OR(TRIM($A59)&lt;&gt;TRIM(Enginuity!$A$1),TRIM($C59)&lt;&gt;TRIM(Enginuity!$A$18),TRIM($U59)="",$V59="",$V59=0,$W59="",$W59=0),"",ROW())</f>
        <v/>
      </c>
      <c r="S59" s="1"/>
      <c r="W59" s="400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1834</v>
      </c>
      <c r="G60" s="409" t="s">
        <v>1835</v>
      </c>
      <c r="H60" s="409" t="s">
        <v>1836</v>
      </c>
      <c r="I60" s="409" t="s">
        <v>1837</v>
      </c>
      <c r="J60" s="409" t="s">
        <v>1838</v>
      </c>
      <c r="K60" s="409" t="s">
        <v>1839</v>
      </c>
      <c r="L60" s="409" t="s">
        <v>1840</v>
      </c>
      <c r="M60" s="409" t="s">
        <v>1841</v>
      </c>
      <c r="N60" s="409" t="s">
        <v>1842</v>
      </c>
      <c r="O60" s="409" t="s">
        <v>1965</v>
      </c>
      <c r="P60" s="409" t="s">
        <v>1843</v>
      </c>
      <c r="Q60" s="409" t="s">
        <v>1810</v>
      </c>
      <c r="R60" s="428" t="s">
        <v>1874</v>
      </c>
      <c r="S60" s="417" t="s">
        <v>1756</v>
      </c>
      <c r="T60" s="409" t="s">
        <v>1790</v>
      </c>
      <c r="U60" s="409" t="s">
        <v>102</v>
      </c>
      <c r="V60" s="409" t="s">
        <v>1845</v>
      </c>
      <c r="W60" s="410" t="s">
        <v>430</v>
      </c>
    </row>
    <row r="61" spans="1:23" x14ac:dyDescent="0.25">
      <c r="A61" s="275" t="s">
        <v>254</v>
      </c>
      <c r="B61" s="370" t="s">
        <v>1846</v>
      </c>
      <c r="C61" s="370" t="s">
        <v>3</v>
      </c>
      <c r="D61" s="370" t="s">
        <v>1792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[Variant]"</f>
        <v>▼ [Variant]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1858</v>
      </c>
      <c r="J61" s="370" t="s">
        <v>1859</v>
      </c>
      <c r="K61" s="370" t="s">
        <v>1860</v>
      </c>
      <c r="L61" s="370" t="s">
        <v>1861</v>
      </c>
      <c r="M61" s="411">
        <v>0.54649999999999999</v>
      </c>
      <c r="N61" s="370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1812</v>
      </c>
      <c r="S61" s="24" t="s">
        <v>1926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1848</v>
      </c>
      <c r="C62" s="370" t="s">
        <v>3</v>
      </c>
      <c r="D62" s="370" t="s">
        <v>1814</v>
      </c>
      <c r="E62" s="370" t="str">
        <v>Z-Louvre Blade - 2"</v>
      </c>
      <c r="G62" s="370" t="s">
        <v>1866</v>
      </c>
      <c r="H62" s="370" t="s">
        <v>1866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1849</v>
      </c>
      <c r="S62" s="24" t="s">
        <v>1927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1793</v>
      </c>
      <c r="E63" s="370" t="str">
        <v>Z-Louvre Blade - 5"</v>
      </c>
      <c r="G63" s="370" t="s">
        <v>1867</v>
      </c>
      <c r="H63" s="370" t="s">
        <v>1867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1863</v>
      </c>
      <c r="S63" s="24" t="s">
        <v>1928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1847</v>
      </c>
      <c r="C64" s="370" t="s">
        <v>3</v>
      </c>
      <c r="D64" s="370" t="s">
        <v>1815</v>
      </c>
      <c r="E64" s="370" t="str">
        <v/>
      </c>
      <c r="G64" s="370" t="s">
        <v>1868</v>
      </c>
      <c r="H64" s="370" t="s">
        <v>1868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1862</v>
      </c>
      <c r="S64" s="24" t="s">
        <v>1928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/>
      </c>
      <c r="G65" s="370" t="s">
        <v>1869</v>
      </c>
      <c r="H65" s="370" t="s">
        <v>1869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/>
      </c>
      <c r="G66" s="370" t="s">
        <v>1870</v>
      </c>
      <c r="H66" s="370" t="s">
        <v>1870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>▼ [Lattice] Fix Window</v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/>
      </c>
      <c r="G67" s="370" t="s">
        <v>1871</v>
      </c>
      <c r="H67" s="370" t="s">
        <v>1871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/>
      </c>
      <c r="G68" s="370" t="s">
        <v>1872</v>
      </c>
      <c r="H68" s="370" t="s">
        <v>1872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/>
      </c>
      <c r="G69" s="370" t="s">
        <v>1873</v>
      </c>
      <c r="H69" s="370" t="s">
        <v>1873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1833</v>
      </c>
      <c r="R77" s="16" t="str">
        <f>IF($T77="","","⬒ "&amp;$T77)</f>
        <v>⬒ Z-Louvre Blade - 5"</v>
      </c>
      <c r="T77" s="1" t="str">
        <f>IF(Enginuity!$A$20="","",Enginuity!$A$20)</f>
        <v>Z-Louvre Blade - 5"</v>
      </c>
      <c r="U77" s="1" t="s">
        <v>121</v>
      </c>
      <c r="V77" s="1">
        <f>IF(Enginuity!$B$9="","",Enginuity!$B$9)</f>
        <v>200</v>
      </c>
      <c r="W77" s="400">
        <f>IFERROR(INDEX(CostData!$Q$3:$Q$12,MATCH(TRIM(Enginuity!$A$20),CostData!$P$3:$P$12,0)),"")</f>
        <v>31.774000000000001</v>
      </c>
    </row>
    <row r="78" spans="1:23" x14ac:dyDescent="0.25">
      <c r="A78" s="275" t="s">
        <v>254</v>
      </c>
      <c r="C78" s="370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W82" s="400"/>
    </row>
    <row r="83" spans="1:23" x14ac:dyDescent="0.25">
      <c r="A83" s="275" t="s">
        <v>254</v>
      </c>
      <c r="C83" s="370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1880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1879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7</v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1898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440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1931</v>
      </c>
      <c r="S87" s="24" t="s">
        <v>1912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200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1932</v>
      </c>
      <c r="S88" s="24" t="s">
        <v>1916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180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1930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180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40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1" t="str">
        <f>IF($S90="","",IFERROR(_xlfn.XLOOKUP($S90,CostData!$U$22:$U$1000,CostData!$T$22:$T$1000,""),""))</f>
        <v>Gasket</v>
      </c>
      <c r="R90" s="429" t="s">
        <v>1933</v>
      </c>
      <c r="S90" s="418">
        <v>6154</v>
      </c>
      <c r="T90" s="401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>
        <f>IF(SUM($V$63:$V$64)=0,"",SUM($V$63:$V$64)*2)</f>
        <v>120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5" t="s">
        <v>254</v>
      </c>
      <c r="B91" s="370" t="s">
        <v>1846</v>
      </c>
      <c r="C91" s="370" t="s">
        <v>1992</v>
      </c>
      <c r="D91" s="370" t="s">
        <v>1792</v>
      </c>
      <c r="E91" s="370" t="str" cm="1">
        <f t="array" ref="E91:E100">IFERROR(INDEX(_xlfn._xlws.FILTER(CostData!$P$3:$P$12,CostData!$P$3:$P$12&lt;&gt;""),_xlfn.SEQUENCE(10)),"")</f>
        <v>Default</v>
      </c>
      <c r="F91" s="370" t="str">
        <f>"▼ [Variant]"</f>
        <v>▼ [Variant]</v>
      </c>
      <c r="G91" s="370" t="str">
        <f>"▼ [Lattice]"</f>
        <v>▼ [Lattice]</v>
      </c>
      <c r="H91" s="370" t="str">
        <f>"▼ [Hung Window - Casement]"</f>
        <v>▼ [Hung Window - Casement]</v>
      </c>
      <c r="I91" s="370" t="s">
        <v>1858</v>
      </c>
      <c r="J91" s="370" t="s">
        <v>1859</v>
      </c>
      <c r="K91" s="370" t="s">
        <v>1860</v>
      </c>
      <c r="L91" s="370" t="s">
        <v>1861</v>
      </c>
      <c r="M91" s="411">
        <v>0.54649999999999999</v>
      </c>
      <c r="N91" s="370">
        <v>914.4</v>
      </c>
      <c r="O91" s="370" t="s">
        <v>1957</v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6" t="s">
        <v>1812</v>
      </c>
      <c r="S91" s="24" t="s">
        <v>1974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60</v>
      </c>
      <c r="W91" s="40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5" t="s">
        <v>254</v>
      </c>
      <c r="B92" s="370" t="s">
        <v>1848</v>
      </c>
      <c r="C92" s="370" t="s">
        <v>1992</v>
      </c>
      <c r="D92" s="370" t="s">
        <v>1814</v>
      </c>
      <c r="E92" s="370" t="str">
        <v>Z-Louvre Blade - 2"</v>
      </c>
      <c r="F92" s="370" t="s">
        <v>1935</v>
      </c>
      <c r="M92" s="411">
        <v>0.54649999999999999</v>
      </c>
      <c r="N92" s="370">
        <v>1500</v>
      </c>
      <c r="O92" s="370" t="s">
        <v>1958</v>
      </c>
      <c r="P92" s="1" t="str" cm="1">
        <f t="array" ref="P9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1863</v>
      </c>
      <c r="S92" s="24" t="s">
        <v>1974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92" s="400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5" t="s">
        <v>254</v>
      </c>
      <c r="B93" s="370" t="s">
        <v>382</v>
      </c>
      <c r="C93" s="370" t="s">
        <v>1992</v>
      </c>
      <c r="D93" s="370" t="s">
        <v>1793</v>
      </c>
      <c r="E93" s="370" t="str">
        <v>Z-Louvre Blade - 5"</v>
      </c>
      <c r="F93" s="370" t="s">
        <v>1962</v>
      </c>
      <c r="M93" s="411">
        <v>0.54649999999999999</v>
      </c>
      <c r="N93" s="370">
        <v>914.4</v>
      </c>
      <c r="O93" s="370" t="s">
        <v>1959</v>
      </c>
      <c r="P93" s="1" t="str" cm="1">
        <f t="array" ref="P9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1862</v>
      </c>
      <c r="S93" s="24" t="s">
        <v>1974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400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5" t="s">
        <v>254</v>
      </c>
      <c r="B94" s="370" t="s">
        <v>1847</v>
      </c>
      <c r="C94" s="370" t="s">
        <v>1992</v>
      </c>
      <c r="D94" s="370" t="s">
        <v>1815</v>
      </c>
      <c r="E94" s="370" t="str">
        <v/>
      </c>
      <c r="F94" s="370" t="s">
        <v>1963</v>
      </c>
      <c r="M94" s="411">
        <v>0.54649999999999999</v>
      </c>
      <c r="N94" s="370">
        <v>914.4</v>
      </c>
      <c r="O94" s="370" t="s">
        <v>1960</v>
      </c>
      <c r="P94" s="1" t="str" cm="1">
        <f t="array" ref="P9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1812</v>
      </c>
      <c r="S94" s="24" t="s">
        <v>1955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60</v>
      </c>
      <c r="W94" s="400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5" t="s">
        <v>254</v>
      </c>
      <c r="C95" s="370" t="s">
        <v>1992</v>
      </c>
      <c r="E95" s="370" t="str">
        <v/>
      </c>
      <c r="F95" s="370" t="s">
        <v>1964</v>
      </c>
      <c r="M95" s="411">
        <v>0.54649999999999999</v>
      </c>
      <c r="N95" s="370">
        <v>914.4</v>
      </c>
      <c r="O95" s="370" t="s">
        <v>1961</v>
      </c>
      <c r="P95" s="1" t="str" cm="1">
        <f t="array" ref="P9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1863</v>
      </c>
      <c r="S95" s="24" t="s">
        <v>1955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95" s="400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5" t="s">
        <v>254</v>
      </c>
      <c r="C96" s="370" t="s">
        <v>1992</v>
      </c>
      <c r="E96" s="370" t="str">
        <v/>
      </c>
      <c r="F96" s="370" t="s">
        <v>1972</v>
      </c>
      <c r="M96" s="411">
        <v>0.54649999999999999</v>
      </c>
      <c r="N96" s="370">
        <v>1000</v>
      </c>
      <c r="O96" s="370" t="s">
        <v>1970</v>
      </c>
      <c r="P96" s="1" t="str" cm="1">
        <f t="array" ref="P9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1862</v>
      </c>
      <c r="S96" s="24" t="s">
        <v>1955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20</v>
      </c>
      <c r="W96" s="400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5" t="s">
        <v>254</v>
      </c>
      <c r="C97" s="370" t="s">
        <v>1992</v>
      </c>
      <c r="E97" s="370" t="str">
        <v/>
      </c>
      <c r="F97" s="370" t="s">
        <v>1973</v>
      </c>
      <c r="M97" s="411">
        <v>0.54649999999999999</v>
      </c>
      <c r="N97" s="370">
        <v>1000</v>
      </c>
      <c r="O97" s="370" t="s">
        <v>1971</v>
      </c>
      <c r="P97" s="1" cm="1">
        <f t="array" ref="P9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97</v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1812</v>
      </c>
      <c r="S97" s="24" t="s">
        <v>1942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60</v>
      </c>
      <c r="W97" s="400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5" t="s">
        <v>254</v>
      </c>
      <c r="C98" s="370" t="s">
        <v>1992</v>
      </c>
      <c r="E98" s="370" t="str">
        <v/>
      </c>
      <c r="M98" s="411"/>
      <c r="P98" s="1" cm="1">
        <f t="array" ref="P9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98</v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1863</v>
      </c>
      <c r="S98" s="24" t="s">
        <v>1942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98" s="400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5" t="s">
        <v>254</v>
      </c>
      <c r="C99" s="370" t="s">
        <v>1992</v>
      </c>
      <c r="E99" s="370" t="str">
        <v/>
      </c>
      <c r="P99" s="1" cm="1">
        <f t="array" ref="P99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99</v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1862</v>
      </c>
      <c r="S99" s="24" t="s">
        <v>1942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20</v>
      </c>
      <c r="W99" s="400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5" t="s">
        <v>254</v>
      </c>
      <c r="C100" s="370" t="s">
        <v>1992</v>
      </c>
      <c r="E100" s="370" t="str">
        <v/>
      </c>
      <c r="P100" s="1" t="str" cm="1">
        <f t="array" ref="P100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1812</v>
      </c>
      <c r="S100" s="24" t="s">
        <v>1950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60</v>
      </c>
      <c r="W100" s="400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5" t="s">
        <v>254</v>
      </c>
      <c r="C101" s="370" t="s">
        <v>1992</v>
      </c>
      <c r="P101" s="1" t="str" cm="1">
        <f t="array" ref="P10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1863</v>
      </c>
      <c r="S101" s="24" t="s">
        <v>1950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101" s="400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5" t="s">
        <v>254</v>
      </c>
      <c r="C102" s="370" t="s">
        <v>1992</v>
      </c>
      <c r="P102" s="1" t="str" cm="1">
        <f t="array" ref="P10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1862</v>
      </c>
      <c r="S102" s="24" t="s">
        <v>1950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20</v>
      </c>
      <c r="W102" s="400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5" t="s">
        <v>254</v>
      </c>
      <c r="C103" s="370" t="s">
        <v>1992</v>
      </c>
      <c r="P103" s="1" t="str" cm="1">
        <f t="array" ref="P10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1812</v>
      </c>
      <c r="S103" s="24" t="s">
        <v>1967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60</v>
      </c>
      <c r="W103" s="400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5" t="s">
        <v>254</v>
      </c>
      <c r="C104" s="370" t="s">
        <v>1992</v>
      </c>
      <c r="P104" s="1" t="str" cm="1">
        <f t="array" ref="P10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1863</v>
      </c>
      <c r="S104" s="24" t="s">
        <v>1967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104" s="400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5" t="s">
        <v>254</v>
      </c>
      <c r="C105" s="370" t="s">
        <v>1992</v>
      </c>
      <c r="P105" s="1" t="str" cm="1">
        <f t="array" ref="P10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1862</v>
      </c>
      <c r="S105" s="24" t="s">
        <v>1967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00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5" t="s">
        <v>254</v>
      </c>
      <c r="C106" s="370" t="s">
        <v>1992</v>
      </c>
      <c r="P106" s="1" t="str" cm="1">
        <f t="array" ref="P10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1812</v>
      </c>
      <c r="S106" s="24" t="s">
        <v>1966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60</v>
      </c>
      <c r="W106" s="400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5" t="s">
        <v>254</v>
      </c>
      <c r="C107" s="370" t="s">
        <v>1992</v>
      </c>
      <c r="P107" s="1" t="str" cm="1">
        <f t="array" ref="P10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1863</v>
      </c>
      <c r="S107" s="24" t="s">
        <v>1966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60</v>
      </c>
      <c r="W107" s="400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5" t="s">
        <v>254</v>
      </c>
      <c r="C108" s="370" t="s">
        <v>1992</v>
      </c>
      <c r="P108" s="1" t="str" cm="1">
        <f t="array" ref="P10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1862</v>
      </c>
      <c r="S108" s="24" t="s">
        <v>1966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00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5" t="s">
        <v>254</v>
      </c>
      <c r="C109" s="370" t="s">
        <v>1992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0" spans="1:23" x14ac:dyDescent="0.25">
      <c r="A110" s="275" t="s">
        <v>254</v>
      </c>
      <c r="C110" s="370" t="s">
        <v>1992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1" spans="1:23" x14ac:dyDescent="0.25">
      <c r="A111" s="275" t="s">
        <v>254</v>
      </c>
      <c r="C111" s="370" t="s">
        <v>1992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1992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1833</v>
      </c>
      <c r="R112" s="16" t="str">
        <f>IF($T112="","","⬒ "&amp;$T112)</f>
        <v>⬒ Z-Louvre Blade - 5"</v>
      </c>
      <c r="T112" s="1" t="str">
        <f>IF(Enginuity!$A$20="","",Enginuity!$A$20)</f>
        <v>Z-Louvre Blade - 5"</v>
      </c>
      <c r="U112" s="1" t="s">
        <v>121</v>
      </c>
      <c r="V112" s="1">
        <f>IF(Enginuity!$B$9="","",Enginuity!$B$9)</f>
        <v>200</v>
      </c>
      <c r="W112" s="400">
        <f>IFERROR(INDEX(CostData!$Q$3:$Q$12,MATCH(TRIM(Enginuity!$A$20),CostData!$P$3:$P$12,0)),"")</f>
        <v>31.774000000000001</v>
      </c>
    </row>
    <row r="113" spans="1:23" x14ac:dyDescent="0.25">
      <c r="A113" s="275" t="s">
        <v>254</v>
      </c>
      <c r="C113" s="370" t="s">
        <v>1992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3" s="400" t="str" cm="1">
        <f t="array" ref="W1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4" spans="1:23" x14ac:dyDescent="0.25">
      <c r="A114" s="275" t="s">
        <v>254</v>
      </c>
      <c r="C114" s="370" t="s">
        <v>1992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1992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1992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1992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1977</v>
      </c>
      <c r="S117" s="24" t="s">
        <v>1975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32</v>
      </c>
      <c r="W117" s="400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5" t="s">
        <v>254</v>
      </c>
      <c r="C118" s="370" t="s">
        <v>1992</v>
      </c>
      <c r="P118" s="1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1" t="str">
        <f>IF($S118="","",IFERROR(_xlfn.XLOOKUP($S118,CostData!$U$22:$U$1000,CostData!$T$22:$T$1000,""),""))</f>
        <v>Black Tape</v>
      </c>
      <c r="R118" s="16" t="str">
        <f>IF($S118="","",$T118)</f>
        <v>1.5" x 2 Black Tape</v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>BT15</v>
      </c>
      <c r="T118" s="1" t="str" cm="1">
        <f t="array" ref="T118">_xlfn.LET(_xlpm.cd,INDEX($S:$S,ROW()),IF(_xlpm.cd="","",IFERROR(_xlfn.XLOOKUP(_xlpm.cd,CostData!$U$22:$U$1000,CostData!$W$22:$W$1000,""),"")))</f>
        <v>1.5" x 2 Black Tape</v>
      </c>
      <c r="U118" s="1" t="str">
        <f>IF($S118="","",IFERROR(_xlfn.XLOOKUP($S118,CostData!$U$22:$U$1000,CostData!$AA$22:$AA$1000,""),""))</f>
        <v>Ft</v>
      </c>
      <c r="V118" s="1">
        <f>_xlfn.LET(_xlpm.tot,SUM(N($V$91),N($V$92),N($V$93))*2,IF(_xlpm.tot=0,"",_xlpm.tot))</f>
        <v>240</v>
      </c>
      <c r="W118" s="400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</v>
      </c>
    </row>
    <row r="119" spans="1:23" x14ac:dyDescent="0.25">
      <c r="A119" s="275" t="s">
        <v>254</v>
      </c>
      <c r="C119" s="370" t="s">
        <v>1992</v>
      </c>
      <c r="P119" s="1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1" t="str">
        <f>IF($S119="","",IFERROR(_xlfn.XLOOKUP($S119,CostData!$U$22:$U$1000,CostData!$T$22:$T$1000,""),""))</f>
        <v>Silicone</v>
      </c>
      <c r="R119" s="16" t="s">
        <v>1990</v>
      </c>
      <c r="S119" s="24" t="s">
        <v>1982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1991</v>
      </c>
      <c r="V119" s="1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1464</v>
      </c>
      <c r="W119" s="400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</v>
      </c>
    </row>
    <row r="120" spans="1:23" x14ac:dyDescent="0.25">
      <c r="A120" s="412" t="s">
        <v>254</v>
      </c>
      <c r="B120" s="399"/>
      <c r="C120" s="370" t="s">
        <v>1992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1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1" t="str">
        <f>IF($S120="","",IFERROR(_xlfn.XLOOKUP($S120,CostData!$U$22:$U$1000,CostData!$T$22:$T$1000,""),""))</f>
        <v>Gasket</v>
      </c>
      <c r="R120" s="429" t="str">
        <f>T120</f>
        <v>6154 Gasket</v>
      </c>
      <c r="S120" s="418">
        <v>6154</v>
      </c>
      <c r="T120" s="401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3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1" spans="1:23" x14ac:dyDescent="0.25">
      <c r="A121" s="419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20"/>
      <c r="N121" s="415"/>
      <c r="O121" s="415"/>
      <c r="P121" s="409"/>
      <c r="Q121" s="409"/>
      <c r="R121" s="428"/>
      <c r="S121" s="417"/>
      <c r="T121" s="409"/>
      <c r="U121" s="409"/>
      <c r="V121" s="409"/>
      <c r="W121" s="421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W143" s="400"/>
    </row>
    <row r="144" spans="1:23" x14ac:dyDescent="0.25">
      <c r="A144" s="275"/>
      <c r="W144" s="400"/>
    </row>
    <row r="145" spans="1:23" x14ac:dyDescent="0.25">
      <c r="A145" s="275"/>
      <c r="W145" s="400"/>
    </row>
    <row r="146" spans="1:23" x14ac:dyDescent="0.25">
      <c r="A146" s="275"/>
      <c r="W146" s="400"/>
    </row>
    <row r="147" spans="1:23" x14ac:dyDescent="0.25">
      <c r="A147" s="275"/>
      <c r="W147" s="400"/>
    </row>
    <row r="148" spans="1:23" x14ac:dyDescent="0.25">
      <c r="A148" s="275"/>
      <c r="W148" s="400"/>
    </row>
    <row r="149" spans="1:23" x14ac:dyDescent="0.25">
      <c r="A149" s="275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401"/>
      <c r="Q150" s="401"/>
      <c r="R150" s="429"/>
      <c r="S150" s="418"/>
      <c r="T150" s="401"/>
      <c r="U150" s="401"/>
      <c r="V150" s="401"/>
      <c r="W150" s="413"/>
    </row>
    <row r="151" spans="1:23" x14ac:dyDescent="0.25">
      <c r="A151" s="419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20"/>
      <c r="N151" s="415"/>
      <c r="O151" s="415"/>
      <c r="P151" s="409"/>
      <c r="Q151" s="409"/>
      <c r="R151" s="428"/>
      <c r="S151" s="417"/>
      <c r="T151" s="409"/>
      <c r="U151" s="409"/>
      <c r="V151" s="409"/>
      <c r="W151" s="421"/>
    </row>
    <row r="152" spans="1:23" x14ac:dyDescent="0.25">
      <c r="A152" s="275"/>
      <c r="W152" s="400"/>
    </row>
    <row r="153" spans="1:23" x14ac:dyDescent="0.25">
      <c r="A153" s="275"/>
      <c r="W153" s="400"/>
    </row>
    <row r="154" spans="1:23" x14ac:dyDescent="0.25">
      <c r="A154" s="275"/>
      <c r="W154" s="400"/>
    </row>
    <row r="155" spans="1:23" x14ac:dyDescent="0.25">
      <c r="A155" s="275"/>
      <c r="W155" s="400"/>
    </row>
    <row r="156" spans="1:23" x14ac:dyDescent="0.25">
      <c r="A156" s="275"/>
      <c r="W156" s="400"/>
    </row>
    <row r="157" spans="1:23" x14ac:dyDescent="0.25">
      <c r="A157" s="275"/>
      <c r="W157" s="400"/>
    </row>
    <row r="158" spans="1:23" x14ac:dyDescent="0.25">
      <c r="A158" s="275"/>
      <c r="W158" s="400"/>
    </row>
    <row r="159" spans="1:23" x14ac:dyDescent="0.25">
      <c r="A159" s="275"/>
      <c r="W159" s="400"/>
    </row>
    <row r="160" spans="1:23" x14ac:dyDescent="0.25">
      <c r="A160" s="275"/>
      <c r="W160" s="400"/>
    </row>
    <row r="161" spans="1:23" x14ac:dyDescent="0.25">
      <c r="A161" s="275"/>
      <c r="W161" s="400"/>
    </row>
    <row r="162" spans="1:23" x14ac:dyDescent="0.25">
      <c r="A162" s="275"/>
      <c r="W162" s="400"/>
    </row>
    <row r="163" spans="1:23" x14ac:dyDescent="0.25">
      <c r="A163" s="275"/>
      <c r="W163" s="400"/>
    </row>
    <row r="164" spans="1:23" x14ac:dyDescent="0.25">
      <c r="A164" s="275"/>
      <c r="W164" s="400"/>
    </row>
    <row r="165" spans="1:23" x14ac:dyDescent="0.25">
      <c r="A165" s="275"/>
      <c r="W165" s="400"/>
    </row>
    <row r="166" spans="1:23" x14ac:dyDescent="0.25">
      <c r="A166" s="275"/>
      <c r="W166" s="400"/>
    </row>
    <row r="167" spans="1:23" x14ac:dyDescent="0.25">
      <c r="A167" s="275"/>
      <c r="W167" s="400"/>
    </row>
    <row r="168" spans="1:23" x14ac:dyDescent="0.25">
      <c r="A168" s="275"/>
      <c r="W168" s="400"/>
    </row>
    <row r="169" spans="1:23" x14ac:dyDescent="0.25">
      <c r="A169" s="275"/>
      <c r="W169" s="400"/>
    </row>
    <row r="170" spans="1:23" x14ac:dyDescent="0.25">
      <c r="A170" s="275"/>
      <c r="W170" s="400"/>
    </row>
    <row r="171" spans="1:23" x14ac:dyDescent="0.25">
      <c r="A171" s="275"/>
      <c r="W171" s="400"/>
    </row>
    <row r="172" spans="1:23" x14ac:dyDescent="0.25">
      <c r="A172" s="275"/>
      <c r="W172" s="400"/>
    </row>
    <row r="173" spans="1:23" x14ac:dyDescent="0.25">
      <c r="A173" s="275"/>
      <c r="W173" s="400"/>
    </row>
    <row r="174" spans="1:23" x14ac:dyDescent="0.25">
      <c r="A174" s="275"/>
      <c r="W174" s="400"/>
    </row>
    <row r="175" spans="1:23" x14ac:dyDescent="0.25">
      <c r="A175" s="275"/>
      <c r="W175" s="400"/>
    </row>
    <row r="176" spans="1:23" x14ac:dyDescent="0.25">
      <c r="A176" s="275"/>
      <c r="W176" s="400"/>
    </row>
    <row r="177" spans="1:23" x14ac:dyDescent="0.25">
      <c r="A177" s="275"/>
      <c r="W177" s="400"/>
    </row>
    <row r="178" spans="1:23" x14ac:dyDescent="0.25">
      <c r="A178" s="275"/>
      <c r="W178" s="400"/>
    </row>
    <row r="179" spans="1:23" x14ac:dyDescent="0.25">
      <c r="A179" s="275"/>
      <c r="W179" s="400"/>
    </row>
    <row r="180" spans="1:23" x14ac:dyDescent="0.25">
      <c r="A180" s="412"/>
      <c r="B180" s="399"/>
      <c r="C180" s="399"/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401"/>
      <c r="Q180" s="401"/>
      <c r="R180" s="429"/>
      <c r="S180" s="418"/>
      <c r="T180" s="401"/>
      <c r="U180" s="401"/>
      <c r="V180" s="401"/>
      <c r="W180" s="413"/>
    </row>
    <row r="181" spans="1:23" x14ac:dyDescent="0.25">
      <c r="A181" s="419" t="s">
        <v>254</v>
      </c>
      <c r="B181" s="415" t="s">
        <v>1846</v>
      </c>
      <c r="C181" s="415" t="s">
        <v>1936</v>
      </c>
      <c r="D181" s="415" t="s">
        <v>1792</v>
      </c>
      <c r="E181" s="415" t="str" cm="1">
        <f t="array" ref="E181:E190">IFERROR(INDEX(_xlfn._xlws.FILTER(CostData!$P$3:$P$12,CostData!$P$3:$P$12&lt;&gt;""),_xlfn.SEQUENCE(10)),"")</f>
        <v>Default</v>
      </c>
      <c r="F181" s="415" t="str">
        <f>"▼ [Variant]"</f>
        <v>▼ [Variant]</v>
      </c>
      <c r="G181" s="415" t="str">
        <f>"▼ [Fix - Casement]"</f>
        <v>▼ [Fix - Casement]</v>
      </c>
      <c r="H181" s="415"/>
      <c r="I181" s="415"/>
      <c r="J181" s="415"/>
      <c r="K181" s="415"/>
      <c r="L181" s="415"/>
      <c r="M181" s="420">
        <v>0.54649999999999999</v>
      </c>
      <c r="N181" s="415">
        <v>609.6</v>
      </c>
      <c r="O181" s="415"/>
      <c r="P181" s="409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28" t="s">
        <v>1812</v>
      </c>
      <c r="S181" s="417" t="s">
        <v>1926</v>
      </c>
      <c r="T181" s="409" t="str" cm="1">
        <f t="array" ref="T181">_xlfn.LET(_xlpm.cd,INDEX($S:$S,ROW()),IF(_xlpm.cd="","",IFERROR(_xlfn.XLOOKUP(_xlpm.cd,CostData!$C$22:$C$1000,CostData!$E$22:$E$1000,""),"")))</f>
        <v>Outer</v>
      </c>
      <c r="U181" s="409" t="s">
        <v>103</v>
      </c>
      <c r="V18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181" s="421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1848</v>
      </c>
      <c r="C182" s="415" t="s">
        <v>1936</v>
      </c>
      <c r="D182" s="370" t="s">
        <v>1814</v>
      </c>
      <c r="E182" s="370" t="str">
        <v>Z-Louvre Blade - 2"</v>
      </c>
      <c r="G182" s="370" t="s">
        <v>1938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">
        <v>1849</v>
      </c>
      <c r="S182" s="24" t="s">
        <v>1927</v>
      </c>
      <c r="T182" s="1" t="str" cm="1">
        <f t="array" ref="T182">_xlfn.LET(_xlpm.cd,INDEX($S:$S,ROW()),IF(_xlpm.cd="","",IFERROR(_xlfn.XLOOKUP(_xlpm.cd,CostData!$C$22:$C$1000,CostData!$E$22:$E$1000,""),"")))</f>
        <v>Inner</v>
      </c>
      <c r="U182" s="1" t="s">
        <v>103</v>
      </c>
      <c r="V18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180</v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415" t="s">
        <v>1936</v>
      </c>
      <c r="D183" s="370" t="s">
        <v>1793</v>
      </c>
      <c r="E183" s="370" t="str">
        <v>Z-Louvre Blade - 5"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">
        <v>1863</v>
      </c>
      <c r="S183" s="24" t="s">
        <v>1928</v>
      </c>
      <c r="T183" s="1" t="str" cm="1">
        <f t="array" ref="T183">_xlfn.LET(_xlpm.cd,INDEX($S:$S,ROW()),IF(_xlpm.cd="","",IFERROR(_xlfn.XLOOKUP(_xlpm.cd,CostData!$C$22:$C$1000,CostData!$E$22:$E$1000,""),"")))</f>
        <v>Mullion</v>
      </c>
      <c r="U183" s="1" t="s">
        <v>103</v>
      </c>
      <c r="V183" s="1">
        <f>IF(AND(Enginuity!$B$7&gt;0,Enginuity!$B$13&gt;1),(Enginuity!$B$13-1)*Enginuity!$B$7,"")</f>
        <v>60</v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1847</v>
      </c>
      <c r="C184" s="415" t="s">
        <v>1936</v>
      </c>
      <c r="D184" s="370" t="s">
        <v>1815</v>
      </c>
      <c r="E184" s="370" t="str">
        <v/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">
        <v>1862</v>
      </c>
      <c r="S184" s="24" t="s">
        <v>1928</v>
      </c>
      <c r="T184" s="1" t="str" cm="1">
        <f t="array" ref="T184">_xlfn.LET(_xlpm.cd,INDEX($S:$S,ROW()),IF(_xlpm.cd="","",IFERROR(_xlfn.XLOOKUP(_xlpm.cd,CostData!$C$22:$C$1000,CostData!$E$22:$E$1000,""),"")))</f>
        <v>Mullion</v>
      </c>
      <c r="U184" s="1" t="s">
        <v>103</v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415" t="s">
        <v>1936</v>
      </c>
      <c r="E185" s="370" t="str">
        <v/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415" t="s">
        <v>1936</v>
      </c>
      <c r="E186" s="370" t="str">
        <v/>
      </c>
      <c r="Q186" s="1" t="str" cm="1">
        <f t="array" ref="Q186">_xlfn.LET(_xlpm.cd,INDEX($S:$S,ROW()),IF(_xlpm.cd="","",IFERROR(_xlfn.XLOOKUP(_xlpm.cd,CostData!$C$22:$C$1000,CostData!$B$22:$B$1000,""),"")))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415" t="s">
        <v>1936</v>
      </c>
      <c r="E187" s="370" t="str">
        <v/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">
        <v>114</v>
      </c>
      <c r="S187" s="24" t="s">
        <v>1929</v>
      </c>
      <c r="T187" s="9" t="e">
        <f>Enginuity!#REF!</f>
        <v>#REF!</v>
      </c>
      <c r="U187" s="1" t="s">
        <v>1937</v>
      </c>
      <c r="V187" s="1">
        <f>IF(TRIM(Enginuity!$A$22)="","",IF(AND(Enginuity!$B$6&gt;0,Enginuity!$B$7&gt;0,Enginuity!$B$13&gt;0),(2*Enginuity!$B$7*Enginuity!$B$13)+(2*Enginuity!$B$6),""))</f>
        <v>180</v>
      </c>
      <c r="W187" s="400" t="str" cm="1">
        <f t="array" ref="W18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188" spans="1:23" x14ac:dyDescent="0.25">
      <c r="A188" s="275" t="s">
        <v>254</v>
      </c>
      <c r="C188" s="415" t="s">
        <v>1936</v>
      </c>
      <c r="E188" s="370" t="str">
        <v/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/>
      </c>
      <c r="T188" s="1" t="str" cm="1">
        <f t="array" ref="T188">_xlfn.LET(_xlpm.cd,INDEX($S:$S,ROW()),IF(_xlpm.cd="","",IFERROR(_xlfn.XLOOKUP(_xlpm.cd,CostData!$C$22:$C$1000,CostData!$E$22:$E$1000,""),"")))</f>
        <v/>
      </c>
      <c r="V188" s="1" t="str" cm="1">
        <f t="array" ref="V188">IFERROR(_xlfn.XLOOKUP(1,(TRIM(CostData!$B$22:$B$1000)="Aluminium")*(TRIM(CostData!$C$22:$C$1000)="CWS")*(TRIM(CostData!$E$22:$E$1000)=TRIM($S188)),_xlfn.SWITCH(TRIM(Enginuity!$A$19),"N/A",CostData!$H$22:$H$1000,"M/B",CostData!$I$22:$I$1000,"P/C",CostData!$J$22:$J$1000,"W/G",CostData!$K$22:$K$1000,""),""),""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415" t="s">
        <v>1936</v>
      </c>
      <c r="E189" s="370" t="str">
        <v/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/>
      </c>
      <c r="T189" s="1" t="str" cm="1">
        <f t="array" ref="T189">_xlfn.LET(_xlpm.cd,INDEX($S:$S,ROW()),IF(_xlpm.cd="","",IFERROR(_xlfn.XLOOKUP(_xlpm.cd,CostData!$C$22:$C$1000,CostData!$E$22:$E$1000,""),"")))</f>
        <v/>
      </c>
      <c r="V189" s="1" t="str" cm="1">
        <f t="array" ref="V189">IFERROR(_xlfn.XLOOKUP(1,(TRIM(CostData!$B$22:$B$1000)="Aluminium")*(TRIM(CostData!$C$22:$C$1000)="CWS")*(TRIM(CostData!$E$22:$E$1000)=TRIM($S189)),_xlfn.SWITCH(TRIM(Enginuity!$A$19),"N/A",CostData!$H$22:$H$1000,"M/B",CostData!$I$22:$I$1000,"P/C",CostData!$J$22:$J$1000,"W/G",CostData!$K$22:$K$1000,""),""),""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415" t="s">
        <v>1936</v>
      </c>
      <c r="E190" s="370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/>
      </c>
      <c r="T190" s="1" t="str" cm="1">
        <f t="array" ref="T190">_xlfn.LET(_xlpm.cd,INDEX($S:$S,ROW()),IF(_xlpm.cd="","",IFERROR(_xlfn.XLOOKUP(_xlpm.cd,CostData!$C$22:$C$1000,CostData!$E$22:$E$1000,""),"")))</f>
        <v/>
      </c>
      <c r="V190" s="1" t="str" cm="1">
        <f t="array" ref="V190">IFERROR(_xlfn.XLOOKUP(1,(TRIM(CostData!$B$22:$B$1000)="Aluminium")*(TRIM(CostData!$C$22:$C$1000)="CWS")*(TRIM(CostData!$E$22:$E$1000)=TRIM($S190)),_xlfn.SWITCH(TRIM(Enginuity!$A$19),"N/A",CostData!$H$22:$H$1000,"M/B",CostData!$I$22:$I$1000,"P/C",CostData!$J$22:$J$1000,"W/G",CostData!$K$22:$K$1000,""),""),""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415" t="s">
        <v>1936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/>
      </c>
      <c r="T191" s="1" t="str" cm="1">
        <f t="array" ref="T191">_xlfn.LET(_xlpm.cd,INDEX($S:$S,ROW()),IF(_xlpm.cd="","",IFERROR(_xlfn.XLOOKUP(_xlpm.cd,CostData!$C$22:$C$1000,CostData!$E$22:$E$1000,""),"")))</f>
        <v/>
      </c>
      <c r="V191" s="1" t="str" cm="1">
        <f t="array" ref="V191">IFERROR(_xlfn.XLOOKUP(1,(TRIM(CostData!$B$22:$B$1000)="Aluminium")*(TRIM(CostData!$C$22:$C$1000)="CWS")*(TRIM(CostData!$E$22:$E$1000)=TRIM($S191)),_xlfn.SWITCH(TRIM(Enginuity!$A$19),"N/A",CostData!$H$22:$H$1000,"M/B",CostData!$I$22:$I$1000,"P/C",CostData!$J$22:$J$1000,"W/G",CostData!$K$22:$K$1000,""),""),""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415" t="s">
        <v>1936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2" s="1" t="str" cm="1">
        <f t="array" ref="Q192">_xlfn.LET(_xlpm.cd,INDEX($S:$S,ROW()),IF(_xlpm.cd="","",IFERROR(_xlfn.XLOOKUP(_xlpm.cd,CostData!$C$22:$C$1000,CostData!$B$22:$B$1000,""),"")))</f>
        <v/>
      </c>
      <c r="T192" s="1" t="str" cm="1">
        <f t="array" ref="T192">_xlfn.LET(_xlpm.cd,INDEX($S:$S,ROW()),IF(_xlpm.cd="","",IFERROR(_xlfn.XLOOKUP(_xlpm.cd,CostData!$C$22:$C$1000,CostData!$E$22:$E$1000,""),"")))</f>
        <v/>
      </c>
      <c r="V192" s="1" t="str" cm="1">
        <f t="array" ref="V192">IFERROR(_xlfn.XLOOKUP(1,(TRIM(CostData!$B$22:$B$1000)="Aluminium")*(TRIM(CostData!$C$22:$C$1000)="CWS")*(TRIM(CostData!$E$22:$E$1000)=TRIM($S192)),_xlfn.SWITCH(TRIM(Enginuity!$A$19),"N/A",CostData!$H$22:$H$1000,"M/B",CostData!$I$22:$I$1000,"P/C",CostData!$J$22:$J$1000,"W/G",CostData!$K$22:$K$1000,""),""),"")</f>
        <v/>
      </c>
      <c r="W192" s="400" t="str" cm="1">
        <f t="array" ref="W1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3" spans="1:23" x14ac:dyDescent="0.25">
      <c r="A193" s="275" t="s">
        <v>254</v>
      </c>
      <c r="C193" s="415" t="s">
        <v>1936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3" s="1" t="str" cm="1">
        <f t="array" ref="Q193">_xlfn.LET(_xlpm.cd,INDEX($S:$S,ROW()),IF(_xlpm.cd="","",IFERROR(_xlfn.XLOOKUP(_xlpm.cd,CostData!$C$22:$C$1000,CostData!$B$22:$B$1000,""),"")))</f>
        <v/>
      </c>
      <c r="T193" s="1" t="str" cm="1">
        <f t="array" ref="T193">_xlfn.LET(_xlpm.cd,INDEX($S:$S,ROW()),IF(_xlpm.cd="","",IFERROR(_xlfn.XLOOKUP(_xlpm.cd,CostData!$C$22:$C$1000,CostData!$E$22:$E$1000,""),"")))</f>
        <v/>
      </c>
      <c r="V193" s="1" t="str" cm="1">
        <f t="array" ref="V193">IFERROR(_xlfn.XLOOKUP(1,(TRIM(CostData!$B$22:$B$1000)="Aluminium")*(TRIM(CostData!$C$22:$C$1000)="CWS")*(TRIM(CostData!$E$22:$E$1000)=TRIM($S193)),_xlfn.SWITCH(TRIM(Enginuity!$A$19),"N/A",CostData!$H$22:$H$1000,"M/B",CostData!$I$22:$I$1000,"P/C",CostData!$J$22:$J$1000,"W/G",CostData!$K$22:$K$1000,""),""),"")</f>
        <v/>
      </c>
      <c r="W193" s="400" t="str" cm="1">
        <f t="array" ref="W1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4" spans="1:23" x14ac:dyDescent="0.25">
      <c r="A194" s="275" t="s">
        <v>254</v>
      </c>
      <c r="C194" s="415" t="s">
        <v>1936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4" s="1" t="str" cm="1">
        <f t="array" ref="Q194">_xlfn.LET(_xlpm.cd,INDEX($S:$S,ROW()),IF(_xlpm.cd="","",IFERROR(_xlfn.XLOOKUP(_xlpm.cd,CostData!$C$22:$C$1000,CostData!$B$22:$B$1000,""),"")))</f>
        <v/>
      </c>
      <c r="T194" s="1" t="str" cm="1">
        <f t="array" ref="T194">_xlfn.LET(_xlpm.cd,INDEX($S:$S,ROW()),IF(_xlpm.cd="","",IFERROR(_xlfn.XLOOKUP(_xlpm.cd,CostData!$C$22:$C$1000,CostData!$E$22:$E$1000,""),"")))</f>
        <v/>
      </c>
      <c r="V194" s="1" t="str" cm="1">
        <f t="array" ref="V194">IFERROR(_xlfn.XLOOKUP(1,(TRIM(CostData!$B$22:$B$1000)="Aluminium")*(TRIM(CostData!$C$22:$C$1000)="CWS")*(TRIM(CostData!$E$22:$E$1000)=TRIM($S194)),_xlfn.SWITCH(TRIM(Enginuity!$A$19),"N/A",CostData!$H$22:$H$1000,"M/B",CostData!$I$22:$I$1000,"P/C",CostData!$J$22:$J$1000,"W/G",CostData!$K$22:$K$1000,""),""),"")</f>
        <v/>
      </c>
      <c r="W194" s="400" t="str" cm="1">
        <f t="array" ref="W1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5" spans="1:23" x14ac:dyDescent="0.25">
      <c r="A195" s="275" t="s">
        <v>254</v>
      </c>
      <c r="C195" s="415" t="s">
        <v>1936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5" s="1" t="str" cm="1">
        <f t="array" ref="Q195">_xlfn.LET(_xlpm.cd,INDEX($S:$S,ROW()),IF(_xlpm.cd="","",IFERROR(_xlfn.XLOOKUP(_xlpm.cd,CostData!$C$22:$C$1000,CostData!$B$22:$B$1000,""),"")))</f>
        <v/>
      </c>
      <c r="T195" s="1" t="str" cm="1">
        <f t="array" ref="T195">_xlfn.LET(_xlpm.cd,INDEX($S:$S,ROW()),IF(_xlpm.cd="","",IFERROR(_xlfn.XLOOKUP(_xlpm.cd,CostData!$C$22:$C$1000,CostData!$E$22:$E$1000,""),"")))</f>
        <v/>
      </c>
      <c r="V195" s="1" t="str" cm="1">
        <f t="array" ref="V195">IFERROR(_xlfn.XLOOKUP(1,(TRIM(CostData!$B$22:$B$1000)="Aluminium")*(TRIM(CostData!$C$22:$C$1000)="CWS")*(TRIM(CostData!$E$22:$E$1000)=TRIM($S195)),_xlfn.SWITCH(TRIM(Enginuity!$A$19),"N/A",CostData!$H$22:$H$1000,"M/B",CostData!$I$22:$I$1000,"P/C",CostData!$J$22:$J$1000,"W/G",CostData!$K$22:$K$1000,""),""),"")</f>
        <v/>
      </c>
      <c r="W195" s="400" t="str" cm="1">
        <f t="array" ref="W1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6" spans="1:23" x14ac:dyDescent="0.25">
      <c r="A196" s="275" t="s">
        <v>254</v>
      </c>
      <c r="C196" s="415" t="s">
        <v>1936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 cm="1">
        <f t="array" ref="Q196">_xlfn.LET(_xlpm.cd,INDEX($S:$S,ROW()),IF(_xlpm.cd="","",IFERROR(_xlfn.XLOOKUP(_xlpm.cd,CostData!$C$22:$C$1000,CostData!$B$22:$B$1000,""),"")))</f>
        <v/>
      </c>
      <c r="T196" s="1" t="str" cm="1">
        <f t="array" ref="T196">_xlfn.LET(_xlpm.cd,INDEX($S:$S,ROW()),IF(_xlpm.cd="","",IFERROR(_xlfn.XLOOKUP(_xlpm.cd,CostData!$C$22:$C$1000,CostData!$E$22:$E$1000,""),"")))</f>
        <v/>
      </c>
      <c r="V196" s="1" t="str" cm="1">
        <f t="array" ref="V196">IFERROR(_xlfn.XLOOKUP(1,(TRIM(CostData!$B$22:$B$1000)="Aluminium")*(TRIM(CostData!$C$22:$C$1000)="CWS")*(TRIM(CostData!$E$22:$E$1000)=TRIM($S196)),_xlfn.SWITCH(TRIM(Enginuity!$A$19),"N/A",CostData!$H$22:$H$1000,"M/B",CostData!$I$22:$I$1000,"P/C",CostData!$J$22:$J$1000,"W/G",CostData!$K$22:$K$1000,""),""),"")</f>
        <v/>
      </c>
      <c r="W196" s="400" t="str" cm="1">
        <f t="array" ref="W1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7" spans="1:23" x14ac:dyDescent="0.25">
      <c r="A197" s="275" t="s">
        <v>254</v>
      </c>
      <c r="C197" s="415" t="s">
        <v>1936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1833</v>
      </c>
      <c r="R197" s="16" t="str">
        <f>IF($T197="","","⬒ "&amp;$T197)</f>
        <v>⬒ Z-Louvre Blade - 5"</v>
      </c>
      <c r="T197" s="1" t="str">
        <f>IF(Enginuity!$A$20="","",Enginuity!$A$20)</f>
        <v>Z-Louvre Blade - 5"</v>
      </c>
      <c r="U197" s="1" t="s">
        <v>121</v>
      </c>
      <c r="V197" s="1">
        <f>IF(Enginuity!$B$9="","",Enginuity!$B$9)</f>
        <v>200</v>
      </c>
      <c r="W197" s="400">
        <f>IFERROR(INDEX(CostData!$Q$3:$Q$12,MATCH(TRIM(Enginuity!$A$20),CostData!$P$3:$P$12,0)),"")</f>
        <v>31.774000000000001</v>
      </c>
    </row>
    <row r="198" spans="1:23" x14ac:dyDescent="0.25">
      <c r="A198" s="275" t="s">
        <v>254</v>
      </c>
      <c r="C198" s="415" t="s">
        <v>1936</v>
      </c>
      <c r="P198" s="1" t="str" cm="1">
        <f t="array" ref="P1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8" s="1" t="str" cm="1">
        <f t="array" ref="V198">IFERROR(_xlfn.XLOOKUP(1,(TRIM(CostData!$B$22:$B$1000)="Aluminium")*(TRIM(CostData!$C$22:$C$1000)="CWS")*(TRIM(CostData!$E$22:$E$1000)=TRIM($S198)),_xlfn.SWITCH(TRIM(Enginuity!$A$19),"N/A",CostData!$H$22:$H$1000,"M/B",CostData!$I$22:$I$1000,"P/C",CostData!$J$22:$J$1000,"W/G",CostData!$K$22:$K$1000,""),""),"")</f>
        <v/>
      </c>
      <c r="W198" s="400" t="str" cm="1">
        <f t="array" ref="W198">IF(OR(TRIM(CalcEngine!$A198)&lt;&gt;TRIM(Enginuity!$A$1),TRIM(CalcEngine!$C198)&lt;&gt;TRIM(Enginuity!$A$18),CalcEngine!$V198="",CalcEngine!$V198=0),"",IFERROR(_xlfn.XLOOKUP(1,(TRIM(CostData!$B$22:$B$1000)="Aluminium")*(TRIM(CostData!$C$22:$C$1000)="CWS")*(TRIM(CostData!$E$22:$E$1000)=TRIM(CalcEngine!$T198)),_xlfn.SWITCH(TRIM(Enginuity!$A$19),"N/A",CostData!$H$22:$H$1000,"M/B",CostData!$I$22:$I$1000,"P/C",CostData!$J$22:$J$1000,"W/G",CostData!$K$22:$K$1000,""),""),""))</f>
        <v/>
      </c>
    </row>
    <row r="199" spans="1:23" x14ac:dyDescent="0.25">
      <c r="A199" s="275" t="s">
        <v>254</v>
      </c>
      <c r="C199" s="415" t="s">
        <v>1936</v>
      </c>
      <c r="P199" s="1" t="str" cm="1">
        <f t="array" ref="P1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9" s="1" t="str" cm="1">
        <f t="array" ref="V199">IFERROR(_xlfn.XLOOKUP(1,(TRIM(CostData!$B$22:$B$1000)="Aluminium")*(TRIM(CostData!$C$22:$C$1000)="CWS")*(TRIM(CostData!$E$22:$E$1000)=TRIM($S199)),_xlfn.SWITCH(TRIM(Enginuity!$A$19),"N/A",CostData!$H$22:$H$1000,"M/B",CostData!$I$22:$I$1000,"P/C",CostData!$J$22:$J$1000,"W/G",CostData!$K$22:$K$1000,""),""),"")</f>
        <v/>
      </c>
      <c r="W199" s="400" t="str" cm="1">
        <f t="array" ref="W199">IF(OR(TRIM(CalcEngine!$A199)&lt;&gt;TRIM(Enginuity!$A$1),TRIM(CalcEngine!$C199)&lt;&gt;TRIM(Enginuity!$A$18),CalcEngine!$V199="",CalcEngine!$V199=0),"",IFERROR(_xlfn.XLOOKUP(1,(TRIM(CostData!$B$22:$B$1000)="Aluminium")*(TRIM(CostData!$C$22:$C$1000)="CWS")*(TRIM(CostData!$E$22:$E$1000)=TRIM(CalcEngine!$T199)),_xlfn.SWITCH(TRIM(Enginuity!$A$19),"N/A",CostData!$H$22:$H$1000,"M/B",CostData!$I$22:$I$1000,"P/C",CostData!$J$22:$J$1000,"W/G",CostData!$K$22:$K$1000,""),""),""))</f>
        <v/>
      </c>
    </row>
    <row r="200" spans="1:23" x14ac:dyDescent="0.25">
      <c r="A200" s="275" t="s">
        <v>254</v>
      </c>
      <c r="C200" s="415" t="s">
        <v>1936</v>
      </c>
      <c r="P200" s="1" t="str" cm="1">
        <f t="array" ref="P2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0" s="1" t="str" cm="1">
        <f t="array" ref="V200">IFERROR(_xlfn.XLOOKUP(1,(TRIM(CostData!$B$22:$B$1000)="Aluminium")*(TRIM(CostData!$C$22:$C$1000)="CWS")*(TRIM(CostData!$E$22:$E$1000)=TRIM($S200)),_xlfn.SWITCH(TRIM(Enginuity!$A$19),"N/A",CostData!$H$22:$H$1000,"M/B",CostData!$I$22:$I$1000,"P/C",CostData!$J$22:$J$1000,"W/G",CostData!$K$22:$K$1000,""),""),"")</f>
        <v/>
      </c>
      <c r="W200" s="400" t="str" cm="1">
        <f t="array" ref="W200">IF(OR(TRIM(CalcEngine!$A200)&lt;&gt;TRIM(Enginuity!$A$1),TRIM(CalcEngine!$C200)&lt;&gt;TRIM(Enginuity!$A$18),CalcEngine!$V200="",CalcEngine!$V200=0),"",IFERROR(_xlfn.XLOOKUP(1,(TRIM(CostData!$B$22:$B$1000)="Aluminium")*(TRIM(CostData!$C$22:$C$1000)="CWS")*(TRIM(CostData!$E$22:$E$1000)=TRIM(CalcEngine!$T200)),_xlfn.SWITCH(TRIM(Enginuity!$A$19),"N/A",CostData!$H$22:$H$1000,"M/B",CostData!$I$22:$I$1000,"P/C",CostData!$J$22:$J$1000,"W/G",CostData!$K$22:$K$1000,""),""),""))</f>
        <v/>
      </c>
    </row>
    <row r="201" spans="1:23" x14ac:dyDescent="0.25">
      <c r="A201" s="275" t="s">
        <v>254</v>
      </c>
      <c r="C201" s="415" t="s">
        <v>1936</v>
      </c>
      <c r="P201" s="1" t="str" cm="1">
        <f t="array" ref="P2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1" s="1" t="str" cm="1">
        <f t="array" ref="V201">IFERROR(_xlfn.XLOOKUP(1,(TRIM(CostData!$B$22:$B$1000)="Aluminium")*(TRIM(CostData!$C$22:$C$1000)="CWS")*(TRIM(CostData!$E$22:$E$1000)=TRIM($S201)),_xlfn.SWITCH(TRIM(Enginuity!$A$19),"N/A",CostData!$H$22:$H$1000,"M/B",CostData!$I$22:$I$1000,"P/C",CostData!$J$22:$J$1000,"W/G",CostData!$K$22:$K$1000,""),""),"")</f>
        <v/>
      </c>
      <c r="W201" s="400" t="str" cm="1">
        <f t="array" ref="W201">IF(OR(TRIM(CalcEngine!$A201)&lt;&gt;TRIM(Enginuity!$A$1),TRIM(CalcEngine!$C201)&lt;&gt;TRIM(Enginuity!$A$18),CalcEngine!$V201="",CalcEngine!$V201=0),"",IFERROR(_xlfn.XLOOKUP(1,(TRIM(CostData!$B$22:$B$1000)="Aluminium")*(TRIM(CostData!$C$22:$C$1000)="CWS")*(TRIM(CostData!$E$22:$E$1000)=TRIM(CalcEngine!$T201)),_xlfn.SWITCH(TRIM(Enginuity!$A$19),"N/A",CostData!$H$22:$H$1000,"M/B",CostData!$I$22:$I$1000,"P/C",CostData!$J$22:$J$1000,"W/G",CostData!$K$22:$K$1000,""),""),""))</f>
        <v/>
      </c>
    </row>
    <row r="202" spans="1:23" x14ac:dyDescent="0.25">
      <c r="A202" s="275" t="s">
        <v>254</v>
      </c>
      <c r="C202" s="415" t="s">
        <v>1936</v>
      </c>
      <c r="P202" s="1" t="str" cm="1">
        <f t="array" ref="P2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2" s="400"/>
    </row>
    <row r="203" spans="1:23" x14ac:dyDescent="0.25">
      <c r="A203" s="275" t="s">
        <v>254</v>
      </c>
      <c r="C203" s="415" t="s">
        <v>1936</v>
      </c>
      <c r="W203" s="400"/>
    </row>
    <row r="204" spans="1:23" x14ac:dyDescent="0.25">
      <c r="A204" s="275" t="s">
        <v>254</v>
      </c>
      <c r="C204" s="415" t="s">
        <v>1936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tr">
        <f>IF($S204="","",IFERROR(_xlfn.XLOOKUP($S204,CostData!$U$22:$U$1000,CostData!$T$22:$T$1000,""),""))</f>
        <v>Hinge</v>
      </c>
      <c r="R204" s="16" t="str">
        <f>IF($S204="","",$T204)</f>
        <v>Hung Friction Stay</v>
      </c>
      <c r="S204" s="24" t="s">
        <v>1880</v>
      </c>
      <c r="T204" s="1" t="str" cm="1">
        <f t="array" ref="T204">_xlfn.LET(_xlpm.cd,INDEX($S:$S,ROW()),IF(_xlpm.cd="","",IFERROR(_xlfn.XLOOKUP(_xlpm.cd,CostData!$U$22:$U$1000,CostData!$W$22:$W$1000,""),"")))</f>
        <v>Hung Friction Stay</v>
      </c>
      <c r="U204" s="1" t="str">
        <f>IF($S204="","",IFERROR(_xlfn.XLOOKUP($S204,CostData!$U$22:$U$1000,CostData!$AA$22:$AA$1000,""),""))</f>
        <v>Pair</v>
      </c>
      <c r="V204" s="1">
        <f>IF(TRIM(Enginuity!$A$22)="Fix Window","",IF(Enginuity!$B$13&gt;0,Enginuity!$B$13,""))</f>
        <v>7</v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415" t="s">
        <v>1936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Handle</v>
      </c>
      <c r="R205" s="16" t="str">
        <f>IF($S205="","",$T205)</f>
        <v>Casement Handle</v>
      </c>
      <c r="S205" s="24" t="s">
        <v>113</v>
      </c>
      <c r="T205" s="1" t="str" cm="1">
        <f t="array" ref="T205">_xlfn.LET(_xlpm.cd,INDEX($S:$S,ROW()),IF(_xlpm.cd="","",IFERROR(_xlfn.XLOOKUP(_xlpm.cd,CostData!$U$22:$U$1000,CostData!$W$22:$W$1000,""),"")))</f>
        <v>Casement Handle</v>
      </c>
      <c r="U205" s="1" t="str">
        <f>IF($S205="","",IFERROR(_xlfn.XLOOKUP($S205,CostData!$U$22:$U$1000,CostData!$AA$22:$AA$1000,""),""))</f>
        <v>Pcs</v>
      </c>
      <c r="V205" s="1">
        <f>IF(TRIM(Enginuity!$A$22)="Fix Window","",IF(Enginuity!$B$13="","",Enginuity!$B$13))</f>
        <v>7</v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415" t="s">
        <v>1936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>Black Tape</v>
      </c>
      <c r="R206" s="16" t="str">
        <f>IF($S206="","",$T206)</f>
        <v>2.5" x 2 Black Tape</v>
      </c>
      <c r="S206" s="24" t="s">
        <v>1898</v>
      </c>
      <c r="T206" s="1" t="str" cm="1">
        <f t="array" ref="T206">_xlfn.LET(_xlpm.cd,INDEX($S:$S,ROW()),IF(_xlpm.cd="","",IFERROR(_xlfn.XLOOKUP(_xlpm.cd,CostData!$U$22:$U$1000,CostData!$W$22:$W$1000,""),"")))</f>
        <v>2.5" x 2 Black Tape</v>
      </c>
      <c r="U206" s="1" t="str">
        <f>IF($S206="","",IFERROR(_xlfn.XLOOKUP($S206,CostData!$U$22:$U$1000,CostData!$AA$22:$AA$1000,""),""))</f>
        <v>Ft</v>
      </c>
      <c r="V206" s="1">
        <f>IF(SUM($V$391:$V$394)=0,"",SUM($V$391:$V$394))</f>
        <v>440</v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415" t="s">
        <v>1936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Gasket</v>
      </c>
      <c r="R207" s="16" t="s">
        <v>1931</v>
      </c>
      <c r="S207" s="24">
        <v>6154</v>
      </c>
      <c r="T207" s="1" t="str" cm="1">
        <f t="array" ref="T207">_xlfn.LET(_xlpm.cd,INDEX($S:$S,ROW()),IF(_xlpm.cd="","",IFERROR(_xlfn.XLOOKUP(_xlpm.cd,CostData!$U$22:$U$1000,CostData!$W$22:$W$1000,""),"")))</f>
        <v>6154 Gasket</v>
      </c>
      <c r="U207" s="1" t="str">
        <f>IF($S207="","",IFERROR(_xlfn.XLOOKUP($S207,CostData!$U$22:$U$1000,CostData!$AA$22:$AA$1000,""),""))</f>
        <v>Ft</v>
      </c>
      <c r="V207" s="1">
        <f>IF($V$61="","",$V$61)</f>
        <v>200</v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415" t="s">
        <v>1936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Gasket</v>
      </c>
      <c r="R208" s="16" t="s">
        <v>1932</v>
      </c>
      <c r="S208" s="24" t="s">
        <v>1916</v>
      </c>
      <c r="T208" s="1" t="str" cm="1">
        <f t="array" ref="T208">_xlfn.LET(_xlpm.cd,INDEX($S:$S,ROW()),IF(_xlpm.cd="","",IFERROR(_xlfn.XLOOKUP(_xlpm.cd,CostData!$U$22:$U$1000,CostData!$W$22:$W$1000,""),"")))</f>
        <v>F16S Gasket</v>
      </c>
      <c r="U208" s="1" t="str">
        <f>IF($S208="","",IFERROR(_xlfn.XLOOKUP($S208,CostData!$U$22:$U$1000,CostData!$AA$22:$AA$1000,""),""))</f>
        <v>Ft</v>
      </c>
      <c r="V208" s="1">
        <f>IF($V$392="","",$V$392)</f>
        <v>180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415" t="s">
        <v>1936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">
        <v>1930</v>
      </c>
      <c r="S209" s="24">
        <v>6154</v>
      </c>
      <c r="T209" s="1" t="str" cm="1">
        <f t="array" ref="T209">_xlfn.LET(_xlpm.cd,INDEX($S:$S,ROW()),IF(_xlpm.cd="","",IFERROR(_xlfn.XLOOKUP(_xlpm.cd,CostData!$U$22:$U$1000,CostData!$W$22:$W$1000,""),"")))</f>
        <v>6154 Gasket</v>
      </c>
      <c r="U209" s="1" t="str">
        <f>IF($S209="","",IFERROR(_xlfn.XLOOKUP($S209,CostData!$U$22:$U$1000,CostData!$AA$22:$AA$1000,""),""))</f>
        <v>Ft</v>
      </c>
      <c r="V209" s="1">
        <f>IF($V$392="","",$V$392)</f>
        <v>180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412" t="s">
        <v>254</v>
      </c>
      <c r="B210" s="399"/>
      <c r="C210" s="415" t="s">
        <v>1936</v>
      </c>
      <c r="D210" s="399"/>
      <c r="E210" s="399"/>
      <c r="F210" s="399"/>
      <c r="G210" s="399"/>
      <c r="H210" s="399"/>
      <c r="I210" s="399"/>
      <c r="J210" s="399"/>
      <c r="K210" s="399"/>
      <c r="L210" s="399"/>
      <c r="M210" s="399"/>
      <c r="N210" s="399"/>
      <c r="O210" s="399"/>
      <c r="P210" s="401"/>
      <c r="Q210" s="401" t="str">
        <f>IF($S210="","",IFERROR(_xlfn.XLOOKUP($S210,CostData!$U$22:$U$1000,CostData!$T$22:$T$1000,""),""))</f>
        <v>Gasket</v>
      </c>
      <c r="R210" s="429" t="s">
        <v>1933</v>
      </c>
      <c r="S210" s="418">
        <v>6154</v>
      </c>
      <c r="T210" s="401" t="str" cm="1">
        <f t="array" ref="T210">_xlfn.LET(_xlpm.cd,INDEX($S:$S,ROW()),IF(_xlpm.cd="","",IFERROR(_xlfn.XLOOKUP(_xlpm.cd,CostData!$U$22:$U$1000,CostData!$W$22:$W$1000,""),"")))</f>
        <v>6154 Gasket</v>
      </c>
      <c r="U210" s="401" t="str">
        <f>IF($S210="","",IFERROR(_xlfn.XLOOKUP($S210,CostData!$U$22:$U$1000,CostData!$AA$22:$AA$1000,""),""))</f>
        <v>Ft</v>
      </c>
      <c r="V210" s="401">
        <f>IF(SUM($V$393:$V$394)=0,"",SUM($V$393:$V$394)*2)</f>
        <v>120</v>
      </c>
      <c r="W210" s="41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9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20"/>
      <c r="N211" s="415"/>
      <c r="O211" s="415"/>
      <c r="P211" s="409"/>
      <c r="Q211" s="409"/>
      <c r="R211" s="428"/>
      <c r="S211" s="417"/>
      <c r="T211" s="409"/>
      <c r="U211" s="409"/>
      <c r="V211" s="409"/>
      <c r="W211" s="421"/>
    </row>
    <row r="212" spans="1:23" x14ac:dyDescent="0.25">
      <c r="A212" s="275"/>
      <c r="W212" s="400"/>
    </row>
    <row r="213" spans="1:23" x14ac:dyDescent="0.25">
      <c r="A213" s="275"/>
      <c r="W213" s="400"/>
    </row>
    <row r="214" spans="1:23" x14ac:dyDescent="0.25">
      <c r="A214" s="275"/>
      <c r="W214" s="400"/>
    </row>
    <row r="215" spans="1:23" x14ac:dyDescent="0.25">
      <c r="A215" s="275"/>
      <c r="W215" s="400"/>
    </row>
    <row r="216" spans="1:23" x14ac:dyDescent="0.25">
      <c r="A216" s="275"/>
      <c r="W216" s="400"/>
    </row>
    <row r="217" spans="1:23" x14ac:dyDescent="0.25">
      <c r="A217" s="275"/>
      <c r="W217" s="400"/>
    </row>
    <row r="218" spans="1:23" x14ac:dyDescent="0.25">
      <c r="A218" s="275"/>
      <c r="W218" s="400"/>
    </row>
    <row r="219" spans="1:23" x14ac:dyDescent="0.25">
      <c r="A219" s="275"/>
      <c r="W219" s="400"/>
    </row>
    <row r="220" spans="1:23" x14ac:dyDescent="0.25">
      <c r="A220" s="275"/>
      <c r="W220" s="400"/>
    </row>
    <row r="221" spans="1:23" x14ac:dyDescent="0.25">
      <c r="A221" s="275"/>
      <c r="W221" s="400"/>
    </row>
    <row r="222" spans="1:23" x14ac:dyDescent="0.25">
      <c r="A222" s="275"/>
      <c r="W222" s="400"/>
    </row>
    <row r="223" spans="1:23" x14ac:dyDescent="0.25">
      <c r="A223" s="275"/>
      <c r="W223" s="400"/>
    </row>
    <row r="224" spans="1:23" x14ac:dyDescent="0.25">
      <c r="A224" s="275"/>
      <c r="W224" s="400"/>
    </row>
    <row r="225" spans="1:23" x14ac:dyDescent="0.25">
      <c r="A225" s="275"/>
      <c r="W225" s="400"/>
    </row>
    <row r="226" spans="1:23" x14ac:dyDescent="0.25">
      <c r="A226" s="275"/>
      <c r="W226" s="400"/>
    </row>
    <row r="227" spans="1:23" x14ac:dyDescent="0.25">
      <c r="A227" s="275"/>
      <c r="W227" s="400"/>
    </row>
    <row r="228" spans="1:23" x14ac:dyDescent="0.25">
      <c r="A228" s="275"/>
      <c r="W228" s="400"/>
    </row>
    <row r="229" spans="1:23" x14ac:dyDescent="0.25">
      <c r="A229" s="275"/>
      <c r="W229" s="400"/>
    </row>
    <row r="230" spans="1:23" x14ac:dyDescent="0.25">
      <c r="A230" s="275"/>
      <c r="W230" s="400"/>
    </row>
    <row r="231" spans="1:23" x14ac:dyDescent="0.25">
      <c r="A231" s="275"/>
      <c r="W231" s="400"/>
    </row>
    <row r="232" spans="1:23" x14ac:dyDescent="0.25">
      <c r="A232" s="275"/>
      <c r="W232" s="400"/>
    </row>
    <row r="233" spans="1:23" x14ac:dyDescent="0.25">
      <c r="A233" s="275"/>
      <c r="W233" s="400"/>
    </row>
    <row r="234" spans="1:23" x14ac:dyDescent="0.25">
      <c r="A234" s="275"/>
      <c r="W234" s="400"/>
    </row>
    <row r="235" spans="1:23" x14ac:dyDescent="0.25">
      <c r="A235" s="275"/>
      <c r="W235" s="400"/>
    </row>
    <row r="236" spans="1:23" x14ac:dyDescent="0.25">
      <c r="A236" s="275"/>
      <c r="W236" s="400"/>
    </row>
    <row r="237" spans="1:23" x14ac:dyDescent="0.25">
      <c r="A237" s="275"/>
      <c r="W237" s="400"/>
    </row>
    <row r="238" spans="1:23" x14ac:dyDescent="0.25">
      <c r="A238" s="275"/>
      <c r="W238" s="400"/>
    </row>
    <row r="239" spans="1:23" x14ac:dyDescent="0.25">
      <c r="A239" s="275"/>
      <c r="W239" s="400"/>
    </row>
    <row r="240" spans="1:23" x14ac:dyDescent="0.25">
      <c r="A240" s="412"/>
      <c r="B240" s="399"/>
      <c r="C240" s="399"/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401"/>
      <c r="Q240" s="401"/>
      <c r="R240" s="429"/>
      <c r="S240" s="418"/>
      <c r="T240" s="401"/>
      <c r="U240" s="401"/>
      <c r="V240" s="401"/>
      <c r="W240" s="413"/>
    </row>
    <row r="241" spans="1:23" x14ac:dyDescent="0.25">
      <c r="A241" s="419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20"/>
      <c r="N241" s="415"/>
      <c r="O241" s="415"/>
      <c r="P241" s="409"/>
      <c r="Q241" s="409"/>
      <c r="R241" s="428"/>
      <c r="S241" s="417"/>
      <c r="T241" s="409"/>
      <c r="U241" s="409"/>
      <c r="V241" s="409"/>
      <c r="W241" s="421"/>
    </row>
    <row r="242" spans="1:23" x14ac:dyDescent="0.25">
      <c r="A242" s="275"/>
      <c r="W242" s="400"/>
    </row>
    <row r="243" spans="1:23" x14ac:dyDescent="0.25">
      <c r="A243" s="275"/>
      <c r="W243" s="400"/>
    </row>
    <row r="244" spans="1:23" x14ac:dyDescent="0.25">
      <c r="A244" s="275"/>
      <c r="W244" s="400"/>
    </row>
    <row r="245" spans="1:23" x14ac:dyDescent="0.25">
      <c r="A245" s="275"/>
      <c r="W245" s="400"/>
    </row>
    <row r="246" spans="1:23" x14ac:dyDescent="0.25">
      <c r="A246" s="275"/>
      <c r="W246" s="400"/>
    </row>
    <row r="247" spans="1:23" x14ac:dyDescent="0.25">
      <c r="A247" s="275"/>
      <c r="W247" s="400"/>
    </row>
    <row r="248" spans="1:23" x14ac:dyDescent="0.25">
      <c r="A248" s="275"/>
      <c r="W248" s="400"/>
    </row>
    <row r="249" spans="1:23" x14ac:dyDescent="0.25">
      <c r="A249" s="275"/>
      <c r="W249" s="400"/>
    </row>
    <row r="250" spans="1:23" x14ac:dyDescent="0.25">
      <c r="A250" s="275"/>
      <c r="W250" s="400"/>
    </row>
    <row r="251" spans="1:23" x14ac:dyDescent="0.25">
      <c r="A251" s="275"/>
      <c r="W251" s="400"/>
    </row>
    <row r="252" spans="1:23" x14ac:dyDescent="0.25">
      <c r="A252" s="275"/>
      <c r="W252" s="400"/>
    </row>
    <row r="253" spans="1:23" x14ac:dyDescent="0.25">
      <c r="A253" s="275"/>
      <c r="W253" s="400"/>
    </row>
    <row r="254" spans="1:23" x14ac:dyDescent="0.25">
      <c r="A254" s="275"/>
      <c r="W254" s="400"/>
    </row>
    <row r="255" spans="1:23" x14ac:dyDescent="0.25">
      <c r="A255" s="275"/>
      <c r="W255" s="400"/>
    </row>
    <row r="256" spans="1:23" x14ac:dyDescent="0.25">
      <c r="A256" s="275"/>
      <c r="W256" s="400"/>
    </row>
    <row r="257" spans="1:23" x14ac:dyDescent="0.25">
      <c r="A257" s="275"/>
      <c r="W257" s="400"/>
    </row>
    <row r="258" spans="1:23" x14ac:dyDescent="0.25">
      <c r="A258" s="275"/>
      <c r="W258" s="400"/>
    </row>
    <row r="259" spans="1:23" x14ac:dyDescent="0.25">
      <c r="A259" s="275"/>
      <c r="W259" s="400"/>
    </row>
    <row r="260" spans="1:23" x14ac:dyDescent="0.25">
      <c r="A260" s="275"/>
      <c r="W260" s="400"/>
    </row>
    <row r="261" spans="1:23" x14ac:dyDescent="0.25">
      <c r="A261" s="275"/>
      <c r="W261" s="400"/>
    </row>
    <row r="262" spans="1:23" x14ac:dyDescent="0.25">
      <c r="A262" s="275"/>
      <c r="W262" s="400"/>
    </row>
    <row r="263" spans="1:23" x14ac:dyDescent="0.25">
      <c r="A263" s="275"/>
      <c r="W263" s="400"/>
    </row>
    <row r="264" spans="1:23" x14ac:dyDescent="0.25">
      <c r="A264" s="275"/>
      <c r="W264" s="400"/>
    </row>
    <row r="265" spans="1:23" x14ac:dyDescent="0.25">
      <c r="A265" s="275"/>
      <c r="W265" s="400"/>
    </row>
    <row r="266" spans="1:23" x14ac:dyDescent="0.25">
      <c r="A266" s="275"/>
      <c r="W266" s="400"/>
    </row>
    <row r="267" spans="1:23" x14ac:dyDescent="0.25">
      <c r="A267" s="275"/>
      <c r="W267" s="400"/>
    </row>
    <row r="268" spans="1:23" x14ac:dyDescent="0.25">
      <c r="A268" s="275"/>
      <c r="W268" s="400"/>
    </row>
    <row r="269" spans="1:23" x14ac:dyDescent="0.25">
      <c r="A269" s="275"/>
      <c r="W269" s="400"/>
    </row>
    <row r="270" spans="1:23" x14ac:dyDescent="0.25">
      <c r="A270" s="412"/>
      <c r="B270" s="399"/>
      <c r="C270" s="399"/>
      <c r="D270" s="399"/>
      <c r="E270" s="399"/>
      <c r="F270" s="399"/>
      <c r="G270" s="399"/>
      <c r="H270" s="399"/>
      <c r="I270" s="399"/>
      <c r="J270" s="399"/>
      <c r="K270" s="399"/>
      <c r="L270" s="399"/>
      <c r="M270" s="399"/>
      <c r="N270" s="399"/>
      <c r="O270" s="399"/>
      <c r="P270" s="401"/>
      <c r="Q270" s="401"/>
      <c r="R270" s="429"/>
      <c r="S270" s="418"/>
      <c r="T270" s="401"/>
      <c r="U270" s="401"/>
      <c r="V270" s="401"/>
      <c r="W270" s="413"/>
    </row>
    <row r="271" spans="1:23" x14ac:dyDescent="0.25">
      <c r="A271" s="424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09"/>
      <c r="Q271" s="409"/>
      <c r="R271" s="428"/>
      <c r="S271" s="417"/>
      <c r="T271" s="409"/>
      <c r="U271" s="409"/>
      <c r="V271" s="409"/>
      <c r="W271" s="421"/>
    </row>
    <row r="272" spans="1:23" x14ac:dyDescent="0.25">
      <c r="A272" s="425"/>
      <c r="W272" s="400"/>
    </row>
    <row r="273" spans="1:23" x14ac:dyDescent="0.25">
      <c r="A273" s="425"/>
      <c r="W273" s="400"/>
    </row>
    <row r="274" spans="1:23" x14ac:dyDescent="0.25">
      <c r="A274" s="425"/>
      <c r="W274" s="400"/>
    </row>
    <row r="275" spans="1:23" x14ac:dyDescent="0.25">
      <c r="A275" s="425"/>
      <c r="W275" s="400"/>
    </row>
    <row r="276" spans="1:23" x14ac:dyDescent="0.25">
      <c r="A276" s="425"/>
      <c r="W276" s="400"/>
    </row>
    <row r="277" spans="1:23" x14ac:dyDescent="0.25">
      <c r="A277" s="425"/>
      <c r="W277" s="400"/>
    </row>
    <row r="278" spans="1:23" x14ac:dyDescent="0.25">
      <c r="A278" s="425"/>
      <c r="W278" s="400"/>
    </row>
    <row r="279" spans="1:23" x14ac:dyDescent="0.25">
      <c r="A279" s="425"/>
      <c r="W279" s="400"/>
    </row>
    <row r="280" spans="1:23" x14ac:dyDescent="0.25">
      <c r="A280" s="425"/>
      <c r="W280" s="400"/>
    </row>
    <row r="281" spans="1:23" x14ac:dyDescent="0.25">
      <c r="A281" s="425"/>
      <c r="W281" s="400"/>
    </row>
    <row r="282" spans="1:23" x14ac:dyDescent="0.25">
      <c r="A282" s="425"/>
      <c r="W282" s="400"/>
    </row>
    <row r="283" spans="1:23" x14ac:dyDescent="0.25">
      <c r="A283" s="425"/>
      <c r="W283" s="400"/>
    </row>
    <row r="284" spans="1:23" x14ac:dyDescent="0.25">
      <c r="A284" s="425"/>
      <c r="W284" s="400"/>
    </row>
    <row r="285" spans="1:23" x14ac:dyDescent="0.25">
      <c r="A285" s="425"/>
      <c r="W285" s="400"/>
    </row>
    <row r="286" spans="1:23" x14ac:dyDescent="0.25">
      <c r="A286" s="425"/>
      <c r="W286" s="400"/>
    </row>
    <row r="287" spans="1:23" x14ac:dyDescent="0.25">
      <c r="A287" s="425"/>
      <c r="W287" s="400"/>
    </row>
    <row r="288" spans="1:23" x14ac:dyDescent="0.25">
      <c r="A288" s="425"/>
      <c r="W288" s="400"/>
    </row>
    <row r="289" spans="1:23" x14ac:dyDescent="0.25">
      <c r="A289" s="425"/>
      <c r="W289" s="400"/>
    </row>
    <row r="290" spans="1:23" x14ac:dyDescent="0.25">
      <c r="A290" s="425"/>
      <c r="W290" s="400"/>
    </row>
    <row r="291" spans="1:23" x14ac:dyDescent="0.25">
      <c r="A291" s="425"/>
      <c r="W291" s="400"/>
    </row>
    <row r="292" spans="1:23" x14ac:dyDescent="0.25">
      <c r="A292" s="425"/>
      <c r="W292" s="400"/>
    </row>
    <row r="293" spans="1:23" x14ac:dyDescent="0.25">
      <c r="A293" s="425"/>
      <c r="W293" s="400"/>
    </row>
    <row r="294" spans="1:23" x14ac:dyDescent="0.25">
      <c r="A294" s="425"/>
      <c r="W294" s="400"/>
    </row>
    <row r="295" spans="1:23" x14ac:dyDescent="0.25">
      <c r="A295" s="425"/>
      <c r="W295" s="400"/>
    </row>
    <row r="296" spans="1:23" x14ac:dyDescent="0.25">
      <c r="A296" s="425"/>
      <c r="W296" s="400"/>
    </row>
    <row r="297" spans="1:23" x14ac:dyDescent="0.25">
      <c r="A297" s="425"/>
      <c r="W297" s="400"/>
    </row>
    <row r="298" spans="1:23" x14ac:dyDescent="0.25">
      <c r="A298" s="425"/>
      <c r="W298" s="400"/>
    </row>
    <row r="299" spans="1:23" x14ac:dyDescent="0.25">
      <c r="A299" s="425"/>
      <c r="W299" s="400"/>
    </row>
    <row r="300" spans="1:23" x14ac:dyDescent="0.25">
      <c r="A300" s="426"/>
      <c r="B300" s="399"/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401"/>
      <c r="Q300" s="401"/>
      <c r="R300" s="429"/>
      <c r="S300" s="418"/>
      <c r="T300" s="401"/>
      <c r="U300" s="401"/>
      <c r="V300" s="401"/>
      <c r="W300" s="413"/>
    </row>
    <row r="301" spans="1:23" x14ac:dyDescent="0.25">
      <c r="A301" s="419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20"/>
      <c r="N301" s="415"/>
      <c r="O301" s="415"/>
      <c r="P301" s="409"/>
      <c r="Q301" s="409"/>
      <c r="R301" s="428"/>
      <c r="S301" s="417"/>
      <c r="T301" s="409"/>
      <c r="U301" s="409"/>
      <c r="V301" s="409"/>
      <c r="W301" s="421"/>
    </row>
    <row r="302" spans="1:23" x14ac:dyDescent="0.25">
      <c r="A302" s="275"/>
      <c r="W302" s="400"/>
    </row>
    <row r="303" spans="1:23" x14ac:dyDescent="0.25">
      <c r="A303" s="275"/>
      <c r="W303" s="400"/>
    </row>
    <row r="304" spans="1:23" x14ac:dyDescent="0.25">
      <c r="A304" s="275"/>
      <c r="W304" s="400"/>
    </row>
    <row r="305" spans="1:23" x14ac:dyDescent="0.25">
      <c r="A305" s="275"/>
      <c r="W305" s="400"/>
    </row>
    <row r="306" spans="1:23" x14ac:dyDescent="0.25">
      <c r="A306" s="275"/>
      <c r="W306" s="400"/>
    </row>
    <row r="307" spans="1:23" x14ac:dyDescent="0.25">
      <c r="A307" s="275"/>
      <c r="W307" s="400"/>
    </row>
    <row r="308" spans="1:23" x14ac:dyDescent="0.25">
      <c r="A308" s="275"/>
      <c r="W308" s="400"/>
    </row>
    <row r="309" spans="1:23" x14ac:dyDescent="0.25">
      <c r="A309" s="275"/>
      <c r="W309" s="400"/>
    </row>
    <row r="310" spans="1:23" x14ac:dyDescent="0.25">
      <c r="A310" s="275"/>
      <c r="W310" s="400"/>
    </row>
    <row r="311" spans="1:23" x14ac:dyDescent="0.25">
      <c r="A311" s="275"/>
      <c r="W311" s="400"/>
    </row>
    <row r="312" spans="1:23" x14ac:dyDescent="0.25">
      <c r="A312" s="275"/>
      <c r="W312" s="400"/>
    </row>
    <row r="313" spans="1:23" x14ac:dyDescent="0.25">
      <c r="A313" s="275"/>
      <c r="W313" s="400"/>
    </row>
    <row r="314" spans="1:23" x14ac:dyDescent="0.25">
      <c r="A314" s="275"/>
      <c r="W314" s="400"/>
    </row>
    <row r="315" spans="1:23" x14ac:dyDescent="0.25">
      <c r="A315" s="275"/>
      <c r="W315" s="400"/>
    </row>
    <row r="316" spans="1:23" x14ac:dyDescent="0.25">
      <c r="A316" s="275"/>
      <c r="W316" s="400"/>
    </row>
    <row r="317" spans="1:23" x14ac:dyDescent="0.25">
      <c r="A317" s="275"/>
      <c r="W317" s="400"/>
    </row>
    <row r="318" spans="1:23" x14ac:dyDescent="0.25">
      <c r="A318" s="275"/>
      <c r="W318" s="400"/>
    </row>
    <row r="319" spans="1:23" x14ac:dyDescent="0.25">
      <c r="A319" s="275"/>
      <c r="W319" s="400"/>
    </row>
    <row r="320" spans="1:23" x14ac:dyDescent="0.25">
      <c r="A320" s="275"/>
      <c r="W320" s="400"/>
    </row>
    <row r="321" spans="1:23" x14ac:dyDescent="0.25">
      <c r="A321" s="275"/>
      <c r="W321" s="400"/>
    </row>
    <row r="322" spans="1:23" x14ac:dyDescent="0.25">
      <c r="A322" s="275"/>
      <c r="W322" s="400"/>
    </row>
    <row r="323" spans="1:23" x14ac:dyDescent="0.25">
      <c r="A323" s="275"/>
      <c r="W323" s="400"/>
    </row>
    <row r="324" spans="1:23" x14ac:dyDescent="0.25">
      <c r="A324" s="275"/>
      <c r="W324" s="400"/>
    </row>
    <row r="325" spans="1:23" x14ac:dyDescent="0.25">
      <c r="A325" s="275"/>
      <c r="W325" s="400"/>
    </row>
    <row r="326" spans="1:23" x14ac:dyDescent="0.25">
      <c r="A326" s="275"/>
      <c r="W326" s="400"/>
    </row>
    <row r="327" spans="1:23" x14ac:dyDescent="0.25">
      <c r="A327" s="275"/>
      <c r="W327" s="400"/>
    </row>
    <row r="328" spans="1:23" x14ac:dyDescent="0.25">
      <c r="A328" s="275"/>
      <c r="W328" s="400"/>
    </row>
    <row r="329" spans="1:23" x14ac:dyDescent="0.25">
      <c r="A329" s="275"/>
      <c r="W329" s="400"/>
    </row>
    <row r="330" spans="1:23" x14ac:dyDescent="0.25">
      <c r="A330" s="412"/>
      <c r="B330" s="399"/>
      <c r="C330" s="399"/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401"/>
      <c r="Q330" s="401"/>
      <c r="R330" s="429"/>
      <c r="S330" s="418"/>
      <c r="T330" s="401"/>
      <c r="U330" s="401"/>
      <c r="V330" s="401"/>
      <c r="W330" s="413"/>
    </row>
    <row r="331" spans="1:23" x14ac:dyDescent="0.25">
      <c r="A331" s="419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20"/>
      <c r="N331" s="415"/>
      <c r="O331" s="415"/>
      <c r="P331" s="409"/>
      <c r="Q331" s="409"/>
      <c r="R331" s="428"/>
      <c r="S331" s="417"/>
      <c r="T331" s="409"/>
      <c r="U331" s="409"/>
      <c r="V331" s="409"/>
      <c r="W331" s="421"/>
    </row>
    <row r="332" spans="1:23" x14ac:dyDescent="0.25">
      <c r="A332" s="275"/>
      <c r="W332" s="400"/>
    </row>
    <row r="333" spans="1:23" x14ac:dyDescent="0.25">
      <c r="A333" s="275"/>
      <c r="W333" s="400"/>
    </row>
    <row r="334" spans="1:23" x14ac:dyDescent="0.25">
      <c r="A334" s="275"/>
      <c r="W334" s="400"/>
    </row>
    <row r="335" spans="1:23" x14ac:dyDescent="0.25">
      <c r="A335" s="275"/>
      <c r="W335" s="400"/>
    </row>
    <row r="336" spans="1:23" x14ac:dyDescent="0.25">
      <c r="A336" s="275"/>
      <c r="W336" s="400"/>
    </row>
    <row r="337" spans="1:23" x14ac:dyDescent="0.25">
      <c r="A337" s="275"/>
      <c r="W337" s="400"/>
    </row>
    <row r="338" spans="1:23" x14ac:dyDescent="0.25">
      <c r="A338" s="275"/>
      <c r="W338" s="400"/>
    </row>
    <row r="339" spans="1:23" x14ac:dyDescent="0.25">
      <c r="A339" s="275"/>
      <c r="W339" s="400"/>
    </row>
    <row r="340" spans="1:23" x14ac:dyDescent="0.25">
      <c r="A340" s="275"/>
      <c r="W340" s="400"/>
    </row>
    <row r="341" spans="1:23" x14ac:dyDescent="0.25">
      <c r="A341" s="275"/>
      <c r="W341" s="400"/>
    </row>
    <row r="342" spans="1:23" x14ac:dyDescent="0.25">
      <c r="A342" s="275"/>
      <c r="W342" s="400"/>
    </row>
    <row r="343" spans="1:23" x14ac:dyDescent="0.25">
      <c r="A343" s="275"/>
      <c r="W343" s="400"/>
    </row>
    <row r="344" spans="1:23" x14ac:dyDescent="0.25">
      <c r="A344" s="275"/>
      <c r="W344" s="400"/>
    </row>
    <row r="345" spans="1:23" x14ac:dyDescent="0.25">
      <c r="A345" s="275"/>
      <c r="W345" s="400"/>
    </row>
    <row r="346" spans="1:23" x14ac:dyDescent="0.25">
      <c r="A346" s="275"/>
      <c r="W346" s="400"/>
    </row>
    <row r="347" spans="1:23" x14ac:dyDescent="0.25">
      <c r="A347" s="275"/>
      <c r="W347" s="400"/>
    </row>
    <row r="348" spans="1:23" x14ac:dyDescent="0.25">
      <c r="A348" s="275"/>
      <c r="W348" s="400"/>
    </row>
    <row r="349" spans="1:23" x14ac:dyDescent="0.25">
      <c r="A349" s="275"/>
      <c r="W349" s="400"/>
    </row>
    <row r="350" spans="1:23" x14ac:dyDescent="0.25">
      <c r="A350" s="275"/>
      <c r="W350" s="400"/>
    </row>
    <row r="351" spans="1:23" x14ac:dyDescent="0.25">
      <c r="A351" s="275"/>
      <c r="W351" s="400"/>
    </row>
    <row r="352" spans="1:23" x14ac:dyDescent="0.25">
      <c r="A352" s="275"/>
      <c r="W352" s="400"/>
    </row>
    <row r="353" spans="1:23" x14ac:dyDescent="0.25">
      <c r="A353" s="275"/>
      <c r="W353" s="400"/>
    </row>
    <row r="354" spans="1:23" x14ac:dyDescent="0.25">
      <c r="A354" s="275"/>
      <c r="W354" s="400"/>
    </row>
    <row r="355" spans="1:23" x14ac:dyDescent="0.25">
      <c r="A355" s="275"/>
      <c r="W355" s="400"/>
    </row>
    <row r="356" spans="1:23" x14ac:dyDescent="0.25">
      <c r="A356" s="275"/>
      <c r="W356" s="400"/>
    </row>
    <row r="357" spans="1:23" x14ac:dyDescent="0.25">
      <c r="A357" s="275"/>
      <c r="W357" s="400"/>
    </row>
    <row r="358" spans="1:23" x14ac:dyDescent="0.25">
      <c r="A358" s="275"/>
      <c r="W358" s="400"/>
    </row>
    <row r="359" spans="1:23" x14ac:dyDescent="0.25">
      <c r="A359" s="275"/>
      <c r="W359" s="400"/>
    </row>
    <row r="360" spans="1:23" x14ac:dyDescent="0.25">
      <c r="A360" s="412"/>
      <c r="B360" s="399"/>
      <c r="C360" s="399"/>
      <c r="D360" s="39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401"/>
      <c r="Q360" s="401"/>
      <c r="R360" s="429"/>
      <c r="S360" s="418"/>
      <c r="T360" s="401"/>
      <c r="U360" s="401"/>
      <c r="V360" s="401"/>
      <c r="W360" s="413"/>
    </row>
    <row r="361" spans="1:23" x14ac:dyDescent="0.25">
      <c r="A361" s="419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20"/>
      <c r="N361" s="415"/>
      <c r="O361" s="415"/>
      <c r="P361" s="409"/>
      <c r="Q361" s="409"/>
      <c r="R361" s="428"/>
      <c r="S361" s="417"/>
      <c r="T361" s="409"/>
      <c r="U361" s="409"/>
      <c r="V361" s="409"/>
      <c r="W361" s="421"/>
    </row>
    <row r="362" spans="1:23" x14ac:dyDescent="0.25">
      <c r="A362" s="275"/>
      <c r="W362" s="400"/>
    </row>
    <row r="363" spans="1:23" x14ac:dyDescent="0.25">
      <c r="A363" s="275"/>
      <c r="W363" s="400"/>
    </row>
    <row r="364" spans="1:23" x14ac:dyDescent="0.25">
      <c r="A364" s="275"/>
      <c r="W364" s="400"/>
    </row>
    <row r="365" spans="1:23" x14ac:dyDescent="0.25">
      <c r="A365" s="275"/>
      <c r="W365" s="400"/>
    </row>
    <row r="366" spans="1:23" x14ac:dyDescent="0.25">
      <c r="A366" s="275"/>
      <c r="W366" s="400"/>
    </row>
    <row r="367" spans="1:23" x14ac:dyDescent="0.25">
      <c r="A367" s="275"/>
      <c r="W367" s="400"/>
    </row>
    <row r="368" spans="1:23" x14ac:dyDescent="0.25">
      <c r="A368" s="275"/>
      <c r="W368" s="400"/>
    </row>
    <row r="369" spans="1:23" x14ac:dyDescent="0.25">
      <c r="A369" s="275"/>
      <c r="W369" s="400"/>
    </row>
    <row r="370" spans="1:23" x14ac:dyDescent="0.25">
      <c r="A370" s="275"/>
      <c r="W370" s="400"/>
    </row>
    <row r="371" spans="1:23" x14ac:dyDescent="0.25">
      <c r="A371" s="275"/>
      <c r="W371" s="400"/>
    </row>
    <row r="372" spans="1:23" x14ac:dyDescent="0.25">
      <c r="A372" s="275"/>
      <c r="W372" s="400"/>
    </row>
    <row r="373" spans="1:23" x14ac:dyDescent="0.25">
      <c r="A373" s="275"/>
      <c r="W373" s="400"/>
    </row>
    <row r="374" spans="1:23" x14ac:dyDescent="0.25">
      <c r="A374" s="275"/>
      <c r="W374" s="400"/>
    </row>
    <row r="375" spans="1:23" x14ac:dyDescent="0.25">
      <c r="A375" s="275"/>
      <c r="W375" s="400"/>
    </row>
    <row r="376" spans="1:23" x14ac:dyDescent="0.25">
      <c r="A376" s="275"/>
      <c r="W376" s="400"/>
    </row>
    <row r="377" spans="1:23" x14ac:dyDescent="0.25">
      <c r="A377" s="275"/>
      <c r="W377" s="400"/>
    </row>
    <row r="378" spans="1:23" x14ac:dyDescent="0.25">
      <c r="A378" s="275"/>
      <c r="W378" s="400"/>
    </row>
    <row r="379" spans="1:23" x14ac:dyDescent="0.25">
      <c r="A379" s="275"/>
      <c r="W379" s="400"/>
    </row>
    <row r="380" spans="1:23" x14ac:dyDescent="0.25">
      <c r="A380" s="275"/>
      <c r="W380" s="400"/>
    </row>
    <row r="381" spans="1:23" x14ac:dyDescent="0.25">
      <c r="A381" s="275"/>
      <c r="W381" s="400"/>
    </row>
    <row r="382" spans="1:23" x14ac:dyDescent="0.25">
      <c r="A382" s="275"/>
      <c r="W382" s="400"/>
    </row>
    <row r="383" spans="1:23" x14ac:dyDescent="0.25">
      <c r="A383" s="275"/>
      <c r="W383" s="400"/>
    </row>
    <row r="384" spans="1:23" x14ac:dyDescent="0.25">
      <c r="A384" s="275"/>
      <c r="W384" s="400"/>
    </row>
    <row r="385" spans="1:23" x14ac:dyDescent="0.25">
      <c r="A385" s="275"/>
      <c r="W385" s="400"/>
    </row>
    <row r="386" spans="1:23" x14ac:dyDescent="0.25">
      <c r="A386" s="275"/>
      <c r="W386" s="400"/>
    </row>
    <row r="387" spans="1:23" x14ac:dyDescent="0.25">
      <c r="A387" s="275"/>
      <c r="W387" s="400"/>
    </row>
    <row r="388" spans="1:23" x14ac:dyDescent="0.25">
      <c r="A388" s="275"/>
      <c r="W388" s="400"/>
    </row>
    <row r="389" spans="1:23" x14ac:dyDescent="0.25">
      <c r="A389" s="275"/>
      <c r="W389" s="400"/>
    </row>
    <row r="390" spans="1:23" x14ac:dyDescent="0.25">
      <c r="A390" s="412"/>
      <c r="B390" s="399"/>
      <c r="C390" s="399"/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401"/>
      <c r="Q390" s="401"/>
      <c r="R390" s="429"/>
      <c r="S390" s="418"/>
      <c r="T390" s="401"/>
      <c r="U390" s="401"/>
      <c r="V390" s="401"/>
      <c r="W390" s="413"/>
    </row>
    <row r="391" spans="1:23" x14ac:dyDescent="0.25">
      <c r="A391" s="419" t="s">
        <v>254</v>
      </c>
      <c r="B391" s="415" t="s">
        <v>1846</v>
      </c>
      <c r="C391" s="415" t="s">
        <v>1936</v>
      </c>
      <c r="D391" s="415" t="s">
        <v>1792</v>
      </c>
      <c r="E391" s="415" t="str" cm="1">
        <f t="array" ref="E391:E400">IFERROR(INDEX(_xlfn._xlws.FILTER(CostData!$P$3:$P$12,CostData!$P$3:$P$12&lt;&gt;""),_xlfn.SEQUENCE(10)),"")</f>
        <v>Default</v>
      </c>
      <c r="F391" s="415" t="str">
        <f>"▼ [Variant]"</f>
        <v>▼ [Variant]</v>
      </c>
      <c r="G391" s="415" t="str">
        <f>"▼ [Fix - Casement]"</f>
        <v>▼ [Fix - Casement]</v>
      </c>
      <c r="H391" s="415"/>
      <c r="I391" s="415"/>
      <c r="J391" s="415"/>
      <c r="K391" s="415"/>
      <c r="L391" s="415"/>
      <c r="M391" s="420">
        <v>0.54649999999999999</v>
      </c>
      <c r="N391" s="415">
        <v>609.6</v>
      </c>
      <c r="O391" s="415"/>
      <c r="P391" s="409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409" t="str" cm="1">
        <f t="array" ref="Q391">_xlfn.LET(_xlpm.cd,INDEX($S:$S,ROW()),IF(_xlpm.cd="","",IFERROR(_xlfn.XLOOKUP(_xlpm.cd,CostData!$C$22:$C$1000,CostData!$B$22:$B$1000,""),"")))</f>
        <v>Aluminium</v>
      </c>
      <c r="R391" s="428" t="s">
        <v>1812</v>
      </c>
      <c r="S391" s="417" t="s">
        <v>1926</v>
      </c>
      <c r="T391" s="409" t="str" cm="1">
        <f t="array" ref="T391">_xlfn.LET(_xlpm.cd,INDEX($S:$S,ROW()),IF(_xlpm.cd="","",IFERROR(_xlfn.XLOOKUP(_xlpm.cd,CostData!$C$22:$C$1000,CostData!$E$22:$E$1000,""),"")))</f>
        <v>Outer</v>
      </c>
      <c r="U391" s="409" t="s">
        <v>103</v>
      </c>
      <c r="V39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391" s="421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254</v>
      </c>
      <c r="B392" s="370" t="s">
        <v>1848</v>
      </c>
      <c r="C392" s="415" t="s">
        <v>1936</v>
      </c>
      <c r="D392" s="370" t="s">
        <v>1814</v>
      </c>
      <c r="E392" s="370" t="str">
        <v>Z-Louvre Blade - 2"</v>
      </c>
      <c r="G392" s="370" t="s">
        <v>1938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1849</v>
      </c>
      <c r="S392" s="24" t="s">
        <v>1927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180</v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254</v>
      </c>
      <c r="B393" s="370" t="s">
        <v>382</v>
      </c>
      <c r="C393" s="415" t="s">
        <v>1936</v>
      </c>
      <c r="D393" s="370" t="s">
        <v>1793</v>
      </c>
      <c r="E393" s="370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1863</v>
      </c>
      <c r="S393" s="24" t="s">
        <v>1928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60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254</v>
      </c>
      <c r="B394" s="370" t="s">
        <v>1847</v>
      </c>
      <c r="C394" s="415" t="s">
        <v>1936</v>
      </c>
      <c r="D394" s="370" t="s">
        <v>1815</v>
      </c>
      <c r="E394" s="370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1862</v>
      </c>
      <c r="S394" s="24" t="s">
        <v>1928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254</v>
      </c>
      <c r="C395" s="415" t="s">
        <v>1936</v>
      </c>
      <c r="E395" s="370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254</v>
      </c>
      <c r="C396" s="415" t="s">
        <v>1936</v>
      </c>
      <c r="E396" s="370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254</v>
      </c>
      <c r="C397" s="415" t="s">
        <v>1936</v>
      </c>
      <c r="E397" s="370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1929</v>
      </c>
      <c r="T397" s="9" t="str">
        <f>Enginuity!A22</f>
        <v>▼ [Lattice]</v>
      </c>
      <c r="U397" s="1" t="s">
        <v>1937</v>
      </c>
      <c r="V397" s="1">
        <f>IF(TRIM(Enginuity!$A$22)="","",IF(AND(Enginuity!$B$6&gt;0,Enginuity!$B$7&gt;0,Enginuity!$B$13&gt;0),(2*Enginuity!$B$7*Enginuity!$B$13)+(2*Enginuity!$B$6),""))</f>
        <v>180</v>
      </c>
      <c r="W397" s="400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5" t="s">
        <v>254</v>
      </c>
      <c r="C398" s="415" t="s">
        <v>1936</v>
      </c>
      <c r="E398" s="370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254</v>
      </c>
      <c r="C399" s="415" t="s">
        <v>1936</v>
      </c>
      <c r="E399" s="370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254</v>
      </c>
      <c r="C400" s="415" t="s">
        <v>1936</v>
      </c>
      <c r="E400" s="370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254</v>
      </c>
      <c r="C401" s="415" t="s">
        <v>1936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254</v>
      </c>
      <c r="C402" s="415" t="s">
        <v>1936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254</v>
      </c>
      <c r="C403" s="415" t="s">
        <v>1936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254</v>
      </c>
      <c r="C404" s="415" t="s">
        <v>1936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254</v>
      </c>
      <c r="C405" s="415" t="s">
        <v>1936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254</v>
      </c>
      <c r="C406" s="415" t="s">
        <v>1936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254</v>
      </c>
      <c r="C407" s="415" t="s">
        <v>1936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1833</v>
      </c>
      <c r="R407" s="16" t="str">
        <f>IF($T407="","","⬒ "&amp;$T407)</f>
        <v>⬒ Z-Louvre Blade - 5"</v>
      </c>
      <c r="T407" s="1" t="str">
        <f>IF(Enginuity!$A$20="","",Enginuity!$A$20)</f>
        <v>Z-Louvre Blade - 5"</v>
      </c>
      <c r="U407" s="1" t="s">
        <v>121</v>
      </c>
      <c r="V407" s="1">
        <f>IF(Enginuity!$B$9="","",Enginuity!$B$9)</f>
        <v>200</v>
      </c>
      <c r="W407" s="400">
        <f>IFERROR(INDEX(CostData!$Q$3:$Q$12,MATCH(TRIM(Enginuity!$A$20),CostData!$P$3:$P$12,0)),"")</f>
        <v>31.774000000000001</v>
      </c>
    </row>
    <row r="408" spans="1:23" x14ac:dyDescent="0.25">
      <c r="A408" s="275" t="s">
        <v>254</v>
      </c>
      <c r="C408" s="415" t="s">
        <v>1936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254</v>
      </c>
      <c r="C409" s="415" t="s">
        <v>1936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254</v>
      </c>
      <c r="C410" s="415" t="s">
        <v>1936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254</v>
      </c>
      <c r="C411" s="415" t="s">
        <v>1936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254</v>
      </c>
      <c r="C412" s="415" t="s">
        <v>1936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254</v>
      </c>
      <c r="C413" s="415" t="s">
        <v>1936</v>
      </c>
      <c r="W413" s="400"/>
    </row>
    <row r="414" spans="1:23" x14ac:dyDescent="0.25">
      <c r="A414" s="275" t="s">
        <v>254</v>
      </c>
      <c r="C414" s="415" t="s">
        <v>1936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1880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7</v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254</v>
      </c>
      <c r="C415" s="415" t="s">
        <v>1936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7</v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254</v>
      </c>
      <c r="C416" s="415" t="s">
        <v>1936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1898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440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254</v>
      </c>
      <c r="C417" s="415" t="s">
        <v>1936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1931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200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254</v>
      </c>
      <c r="C418" s="415" t="s">
        <v>1936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1932</v>
      </c>
      <c r="S418" s="24" t="s">
        <v>1916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180</v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254</v>
      </c>
      <c r="C419" s="415" t="s">
        <v>1936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1930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180</v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254</v>
      </c>
      <c r="B420" s="399"/>
      <c r="C420" s="415" t="s">
        <v>1936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401"/>
      <c r="Q420" s="401" t="str">
        <f>IF($S420="","",IFERROR(_xlfn.XLOOKUP($S420,CostData!$U$22:$U$1000,CostData!$T$22:$T$1000,""),""))</f>
        <v>Gasket</v>
      </c>
      <c r="R420" s="429" t="s">
        <v>1933</v>
      </c>
      <c r="S420" s="418">
        <v>6154</v>
      </c>
      <c r="T420" s="401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>
        <f>IF(SUM($V$393:$V$394)=0,"",SUM($V$393:$V$394)*2)</f>
        <v>120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9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20"/>
      <c r="N451" s="415"/>
      <c r="O451" s="415"/>
      <c r="P451" s="409"/>
      <c r="Q451" s="409"/>
      <c r="R451" s="428"/>
      <c r="S451" s="417"/>
      <c r="T451" s="409"/>
      <c r="U451" s="409"/>
      <c r="V451" s="409"/>
      <c r="W451" s="421"/>
    </row>
    <row r="452" spans="1:23" x14ac:dyDescent="0.25">
      <c r="A452" s="275"/>
      <c r="W452" s="400"/>
    </row>
    <row r="453" spans="1:23" x14ac:dyDescent="0.25">
      <c r="A453" s="275"/>
      <c r="W453" s="400"/>
    </row>
    <row r="454" spans="1:23" x14ac:dyDescent="0.25">
      <c r="A454" s="275"/>
      <c r="W454" s="400"/>
    </row>
    <row r="455" spans="1:23" x14ac:dyDescent="0.25">
      <c r="A455" s="275"/>
      <c r="W455" s="400"/>
    </row>
    <row r="456" spans="1:23" x14ac:dyDescent="0.25">
      <c r="A456" s="275"/>
      <c r="W456" s="400"/>
    </row>
    <row r="457" spans="1:23" x14ac:dyDescent="0.25">
      <c r="A457" s="275"/>
      <c r="W457" s="400"/>
    </row>
    <row r="458" spans="1:23" x14ac:dyDescent="0.25">
      <c r="A458" s="275"/>
      <c r="W458" s="400"/>
    </row>
    <row r="459" spans="1:23" x14ac:dyDescent="0.25">
      <c r="A459" s="275"/>
      <c r="W459" s="400"/>
    </row>
    <row r="460" spans="1:23" x14ac:dyDescent="0.25">
      <c r="A460" s="275"/>
      <c r="W460" s="400"/>
    </row>
    <row r="461" spans="1:23" x14ac:dyDescent="0.25">
      <c r="A461" s="275"/>
      <c r="W461" s="400"/>
    </row>
    <row r="462" spans="1:23" x14ac:dyDescent="0.25">
      <c r="A462" s="275"/>
      <c r="W462" s="400"/>
    </row>
    <row r="463" spans="1:23" x14ac:dyDescent="0.25">
      <c r="A463" s="275"/>
      <c r="W463" s="400"/>
    </row>
    <row r="464" spans="1:23" x14ac:dyDescent="0.25">
      <c r="A464" s="275"/>
      <c r="W464" s="400"/>
    </row>
    <row r="465" spans="1:23" x14ac:dyDescent="0.25">
      <c r="A465" s="275"/>
      <c r="W465" s="400"/>
    </row>
    <row r="466" spans="1:23" x14ac:dyDescent="0.25">
      <c r="A466" s="275"/>
      <c r="W466" s="400"/>
    </row>
    <row r="467" spans="1:23" x14ac:dyDescent="0.25">
      <c r="A467" s="275"/>
      <c r="W467" s="400"/>
    </row>
    <row r="468" spans="1:23" x14ac:dyDescent="0.25">
      <c r="A468" s="275"/>
      <c r="W468" s="400"/>
    </row>
    <row r="469" spans="1:23" x14ac:dyDescent="0.25">
      <c r="A469" s="275"/>
      <c r="W469" s="400"/>
    </row>
    <row r="470" spans="1:23" x14ac:dyDescent="0.25">
      <c r="A470" s="275"/>
      <c r="W470" s="400"/>
    </row>
    <row r="471" spans="1:23" x14ac:dyDescent="0.25">
      <c r="A471" s="275"/>
      <c r="W471" s="400"/>
    </row>
    <row r="472" spans="1:23" x14ac:dyDescent="0.25">
      <c r="A472" s="275"/>
      <c r="W472" s="400"/>
    </row>
    <row r="473" spans="1:23" x14ac:dyDescent="0.25">
      <c r="A473" s="275"/>
      <c r="W473" s="400"/>
    </row>
    <row r="474" spans="1:23" x14ac:dyDescent="0.25">
      <c r="A474" s="275"/>
      <c r="W474" s="400"/>
    </row>
    <row r="475" spans="1:23" x14ac:dyDescent="0.25">
      <c r="A475" s="275"/>
      <c r="W475" s="400"/>
    </row>
    <row r="476" spans="1:23" x14ac:dyDescent="0.25">
      <c r="A476" s="275"/>
      <c r="W476" s="400"/>
    </row>
    <row r="477" spans="1:23" x14ac:dyDescent="0.25">
      <c r="A477" s="275"/>
      <c r="W477" s="400"/>
    </row>
    <row r="478" spans="1:23" x14ac:dyDescent="0.25">
      <c r="A478" s="275"/>
      <c r="W478" s="400"/>
    </row>
    <row r="479" spans="1:23" x14ac:dyDescent="0.25">
      <c r="A479" s="275"/>
      <c r="W479" s="400"/>
    </row>
    <row r="480" spans="1:23" x14ac:dyDescent="0.25">
      <c r="A480" s="412"/>
      <c r="B480" s="399"/>
      <c r="C480" s="399"/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401"/>
      <c r="Q480" s="401"/>
      <c r="R480" s="429"/>
      <c r="S480" s="418"/>
      <c r="T480" s="401"/>
      <c r="U480" s="401"/>
      <c r="V480" s="401"/>
      <c r="W480" s="413"/>
    </row>
    <row r="481" spans="1:23" x14ac:dyDescent="0.25">
      <c r="A481" s="419" t="s">
        <v>254</v>
      </c>
      <c r="B481" s="415" t="s">
        <v>1846</v>
      </c>
      <c r="C481" s="415" t="s">
        <v>1935</v>
      </c>
      <c r="D481" s="415" t="s">
        <v>1792</v>
      </c>
      <c r="E481" s="415" t="str" cm="1">
        <f t="array" ref="E481:E490">IFERROR(INDEX(_xlfn._xlws.FILTER(CostData!$P$3:$P$12,CostData!$P$3:$P$12&lt;&gt;""),_xlfn.SEQUENCE(10)),"")</f>
        <v>Default</v>
      </c>
      <c r="F481" s="415" t="str">
        <f>"▼ [Variant]"</f>
        <v>▼ [Variant]</v>
      </c>
      <c r="G481" s="415" t="str">
        <f>"▼ [Fix - Casement]"</f>
        <v>▼ [Fix - Casement]</v>
      </c>
      <c r="H481" s="415" t="str">
        <f>"▼ [Hung Window - Casement]"</f>
        <v>▼ [Hung Window - Casement]</v>
      </c>
      <c r="I481" s="415" t="s">
        <v>1858</v>
      </c>
      <c r="J481" s="415" t="s">
        <v>1859</v>
      </c>
      <c r="K481" s="415" t="s">
        <v>1860</v>
      </c>
      <c r="L481" s="415" t="s">
        <v>1861</v>
      </c>
      <c r="M481" s="420">
        <v>0.54649999999999999</v>
      </c>
      <c r="N481" s="415">
        <v>609.6</v>
      </c>
      <c r="O481" s="415"/>
      <c r="P481" s="409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409" t="str" cm="1">
        <f t="array" ref="Q481">_xlfn.LET(_xlpm.cd,INDEX($S:$S,ROW()),IF(_xlpm.cd="","",IFERROR(_xlfn.XLOOKUP(_xlpm.cd,CostData!$C$22:$C$1000,CostData!$B$22:$B$1000,""),"")))</f>
        <v>Aluminium</v>
      </c>
      <c r="R481" s="428" t="s">
        <v>1812</v>
      </c>
      <c r="S481" s="417" t="s">
        <v>1926</v>
      </c>
      <c r="T481" s="409" t="str" cm="1">
        <f t="array" ref="T481">_xlfn.LET(_xlpm.cd,INDEX($S:$S,ROW()),IF(_xlpm.cd="","",IFERROR(_xlfn.XLOOKUP(_xlpm.cd,CostData!$C$22:$C$1000,CostData!$E$22:$E$1000,""),"")))</f>
        <v>Outer</v>
      </c>
      <c r="U481" s="409" t="s">
        <v>103</v>
      </c>
      <c r="V48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481" s="421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1848</v>
      </c>
      <c r="C482" s="370" t="s">
        <v>1935</v>
      </c>
      <c r="D482" s="370" t="s">
        <v>1814</v>
      </c>
      <c r="E482" s="370" t="str">
        <v>Z-Louvre Blade - 2"</v>
      </c>
      <c r="G482" s="370" t="s">
        <v>1866</v>
      </c>
      <c r="H482" s="370" t="s">
        <v>1866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1849</v>
      </c>
      <c r="S482" s="24" t="s">
        <v>1927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1935</v>
      </c>
      <c r="D483" s="370" t="s">
        <v>1793</v>
      </c>
      <c r="E483" s="370" t="str">
        <v>Z-Louvre Blade - 5"</v>
      </c>
      <c r="G483" s="370" t="s">
        <v>1867</v>
      </c>
      <c r="H483" s="370" t="s">
        <v>1867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1863</v>
      </c>
      <c r="S483" s="24" t="s">
        <v>1928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1847</v>
      </c>
      <c r="C484" s="370" t="s">
        <v>1935</v>
      </c>
      <c r="D484" s="370" t="s">
        <v>1815</v>
      </c>
      <c r="E484" s="370" t="str">
        <v/>
      </c>
      <c r="G484" s="370" t="s">
        <v>1868</v>
      </c>
      <c r="H484" s="370" t="s">
        <v>1868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1862</v>
      </c>
      <c r="S484" s="24" t="s">
        <v>1928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1935</v>
      </c>
      <c r="E485" s="370" t="str">
        <v/>
      </c>
      <c r="G485" s="370" t="s">
        <v>1869</v>
      </c>
      <c r="H485" s="370" t="s">
        <v>1869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1935</v>
      </c>
      <c r="E486" s="370" t="str">
        <v/>
      </c>
      <c r="G486" s="370" t="s">
        <v>1870</v>
      </c>
      <c r="H486" s="370" t="s">
        <v>1870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▼ [Lattice]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1935</v>
      </c>
      <c r="E487" s="370" t="str">
        <v/>
      </c>
      <c r="G487" s="370" t="s">
        <v>1871</v>
      </c>
      <c r="H487" s="370" t="s">
        <v>1871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1935</v>
      </c>
      <c r="E488" s="370" t="str">
        <v/>
      </c>
      <c r="G488" s="370" t="s">
        <v>1872</v>
      </c>
      <c r="H488" s="370" t="s">
        <v>1872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1935</v>
      </c>
      <c r="E489" s="370" t="str">
        <v/>
      </c>
      <c r="G489" s="370" t="s">
        <v>1873</v>
      </c>
      <c r="H489" s="370" t="s">
        <v>1873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1935</v>
      </c>
      <c r="E490" s="370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1935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1935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1935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1935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1935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1935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1935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1833</v>
      </c>
      <c r="R497" s="16" t="str">
        <f>IF($T497="","","⬒ "&amp;$T497)</f>
        <v>⬒ Z-Louvre Blade - 5"</v>
      </c>
      <c r="T497" s="1" t="str">
        <f>IF(Enginuity!$A$20="","",Enginuity!$A$20)</f>
        <v>Z-Louvre Blade - 5"</v>
      </c>
      <c r="U497" s="1" t="s">
        <v>121</v>
      </c>
      <c r="V497" s="1">
        <f>IF(Enginuity!$B$9="","",Enginuity!$B$9)</f>
        <v>200</v>
      </c>
      <c r="W497" s="400">
        <f>IFERROR(INDEX(CostData!$Q$3:$Q$12,MATCH(TRIM(Enginuity!$A$20),CostData!$P$3:$P$12,0)),"")</f>
        <v>31.774000000000001</v>
      </c>
    </row>
    <row r="498" spans="1:23" x14ac:dyDescent="0.25">
      <c r="A498" s="275" t="s">
        <v>254</v>
      </c>
      <c r="C498" s="370" t="s">
        <v>1935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1935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1935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1935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1935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1935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1880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1935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1879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7</v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1935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1935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1898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440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1935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1931</v>
      </c>
      <c r="S507" s="24" t="s">
        <v>1912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200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1935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1932</v>
      </c>
      <c r="S508" s="24" t="s">
        <v>1916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180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1935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1930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180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1935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401"/>
      <c r="Q510" s="401" t="str">
        <f>IF($S510="","",IFERROR(_xlfn.XLOOKUP($S510,CostData!$U$22:$U$1000,CostData!$T$22:$T$1000,""),""))</f>
        <v>Gasket</v>
      </c>
      <c r="R510" s="429" t="s">
        <v>1933</v>
      </c>
      <c r="S510" s="418">
        <v>6154</v>
      </c>
      <c r="T510" s="401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>
        <f>IF(SUM($V$63:$V$64)=0,"",SUM($V$63:$V$64)*2)</f>
        <v>120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419" t="s">
        <v>254</v>
      </c>
      <c r="B511" s="415" t="s">
        <v>1846</v>
      </c>
      <c r="C511" s="415" t="s">
        <v>1935</v>
      </c>
      <c r="D511" s="415" t="s">
        <v>1792</v>
      </c>
      <c r="E511" s="415" t="str" cm="1">
        <f t="array" ref="E511:E520">IFERROR(INDEX(_xlfn._xlws.FILTER(CostData!$P$3:$P$12,CostData!$P$3:$P$12&lt;&gt;""),_xlfn.SEQUENCE(10)),"")</f>
        <v>Default</v>
      </c>
      <c r="F511" s="415" t="str">
        <f>"▼ [Variant]"</f>
        <v>▼ [Variant]</v>
      </c>
      <c r="G511" s="415" t="str">
        <f>"▼ [Fix - Casement]"</f>
        <v>▼ [Fix - Casement]</v>
      </c>
      <c r="H511" s="415" t="str">
        <f>"▼ [Hung Window - Casement]"</f>
        <v>▼ [Hung Window - Casement]</v>
      </c>
      <c r="I511" s="415" t="s">
        <v>1858</v>
      </c>
      <c r="J511" s="415" t="s">
        <v>1859</v>
      </c>
      <c r="K511" s="415" t="s">
        <v>1860</v>
      </c>
      <c r="L511" s="415" t="s">
        <v>1861</v>
      </c>
      <c r="M511" s="420">
        <v>0.54649999999999999</v>
      </c>
      <c r="N511" s="415">
        <v>609.6</v>
      </c>
      <c r="O511" s="415"/>
      <c r="P511" s="409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409" t="str" cm="1">
        <f t="array" ref="Q511">_xlfn.LET(_xlpm.cd,INDEX($S:$S,ROW()),IF(_xlpm.cd="","",IFERROR(_xlfn.XLOOKUP(_xlpm.cd,CostData!$C$22:$C$1000,CostData!$B$22:$B$1000,""),"")))</f>
        <v>Aluminium</v>
      </c>
      <c r="R511" s="428" t="s">
        <v>1812</v>
      </c>
      <c r="S511" s="417" t="s">
        <v>1926</v>
      </c>
      <c r="T511" s="409" t="str" cm="1">
        <f t="array" ref="T511">_xlfn.LET(_xlpm.cd,INDEX($S:$S,ROW()),IF(_xlpm.cd="","",IFERROR(_xlfn.XLOOKUP(_xlpm.cd,CostData!$C$22:$C$1000,CostData!$E$22:$E$1000,""),"")))</f>
        <v>Outer</v>
      </c>
      <c r="U511" s="409" t="s">
        <v>103</v>
      </c>
      <c r="V51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511" s="421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1848</v>
      </c>
      <c r="C512" s="370" t="s">
        <v>1935</v>
      </c>
      <c r="D512" s="370" t="s">
        <v>1814</v>
      </c>
      <c r="E512" s="370" t="str">
        <v>Z-Louvre Blade - 2"</v>
      </c>
      <c r="G512" s="370" t="s">
        <v>1866</v>
      </c>
      <c r="H512" s="370" t="s">
        <v>1866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1849</v>
      </c>
      <c r="S512" s="24" t="s">
        <v>1927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1935</v>
      </c>
      <c r="D513" s="370" t="s">
        <v>1793</v>
      </c>
      <c r="E513" s="370" t="str">
        <v>Z-Louvre Blade - 5"</v>
      </c>
      <c r="G513" s="370" t="s">
        <v>1867</v>
      </c>
      <c r="H513" s="370" t="s">
        <v>1867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1863</v>
      </c>
      <c r="S513" s="24" t="s">
        <v>1928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1847</v>
      </c>
      <c r="C514" s="370" t="s">
        <v>1935</v>
      </c>
      <c r="D514" s="370" t="s">
        <v>1815</v>
      </c>
      <c r="E514" s="370" t="str">
        <v/>
      </c>
      <c r="G514" s="370" t="s">
        <v>1868</v>
      </c>
      <c r="H514" s="370" t="s">
        <v>1868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1862</v>
      </c>
      <c r="S514" s="24" t="s">
        <v>1928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1935</v>
      </c>
      <c r="E515" s="370" t="str">
        <v/>
      </c>
      <c r="G515" s="370" t="s">
        <v>1869</v>
      </c>
      <c r="H515" s="370" t="s">
        <v>1869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1935</v>
      </c>
      <c r="E516" s="370" t="str">
        <v/>
      </c>
      <c r="G516" s="370" t="s">
        <v>1870</v>
      </c>
      <c r="H516" s="370" t="s">
        <v>1870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▼ [Lattice]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1935</v>
      </c>
      <c r="E517" s="370" t="str">
        <v/>
      </c>
      <c r="G517" s="370" t="s">
        <v>1871</v>
      </c>
      <c r="H517" s="370" t="s">
        <v>1871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1935</v>
      </c>
      <c r="E518" s="370" t="str">
        <v/>
      </c>
      <c r="G518" s="370" t="s">
        <v>1872</v>
      </c>
      <c r="H518" s="370" t="s">
        <v>1872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1935</v>
      </c>
      <c r="E519" s="370" t="str">
        <v/>
      </c>
      <c r="G519" s="370" t="s">
        <v>1873</v>
      </c>
      <c r="H519" s="370" t="s">
        <v>1873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1935</v>
      </c>
      <c r="E520" s="370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1935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1935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1935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1935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1935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1935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1935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1833</v>
      </c>
      <c r="R527" s="16" t="str">
        <f>IF($T527="","","⬒ "&amp;$T527)</f>
        <v>⬒ Z-Louvre Blade - 5"</v>
      </c>
      <c r="T527" s="1" t="str">
        <f>IF(Enginuity!$A$20="","",Enginuity!$A$20)</f>
        <v>Z-Louvre Blade - 5"</v>
      </c>
      <c r="U527" s="1" t="s">
        <v>121</v>
      </c>
      <c r="V527" s="1">
        <f>IF(Enginuity!$B$9="","",Enginuity!$B$9)</f>
        <v>200</v>
      </c>
      <c r="W527" s="400">
        <f>IFERROR(INDEX(CostData!$Q$3:$Q$12,MATCH(TRIM(Enginuity!$A$20),CostData!$P$3:$P$12,0)),"")</f>
        <v>31.774000000000001</v>
      </c>
    </row>
    <row r="528" spans="1:23" x14ac:dyDescent="0.25">
      <c r="A528" s="275" t="s">
        <v>254</v>
      </c>
      <c r="C528" s="370" t="s">
        <v>1935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1935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1935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1935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1935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1935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1880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1935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1879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7</v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1935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1935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1898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440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1935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1931</v>
      </c>
      <c r="S537" s="24" t="s">
        <v>1912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200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1935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1932</v>
      </c>
      <c r="S538" s="24" t="s">
        <v>1916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180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1935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1930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180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1935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401"/>
      <c r="Q540" s="401" t="str">
        <f>IF($S540="","",IFERROR(_xlfn.XLOOKUP($S540,CostData!$U$22:$U$1000,CostData!$T$22:$T$1000,""),""))</f>
        <v>Gasket</v>
      </c>
      <c r="R540" s="429" t="s">
        <v>1933</v>
      </c>
      <c r="S540" s="418">
        <v>6154</v>
      </c>
      <c r="T540" s="401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>
        <f>IF(SUM($V$63:$V$64)=0,"",SUM($V$63:$V$64)*2)</f>
        <v>120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 x14ac:dyDescent="0.25">
      <c r="A541" s="419" t="s">
        <v>254</v>
      </c>
      <c r="B541" s="415" t="s">
        <v>1846</v>
      </c>
      <c r="C541" s="415" t="s">
        <v>1935</v>
      </c>
      <c r="D541" s="415" t="s">
        <v>1792</v>
      </c>
      <c r="E541" s="415" t="str" cm="1">
        <f t="array" ref="E541:E550">IFERROR(INDEX(_xlfn._xlws.FILTER(CostData!$P$3:$P$12,CostData!$P$3:$P$12&lt;&gt;""),_xlfn.SEQUENCE(10)),"")</f>
        <v>Default</v>
      </c>
      <c r="F541" s="415" t="str">
        <f>"▼ [Variant]"</f>
        <v>▼ [Variant]</v>
      </c>
      <c r="G541" s="415" t="str">
        <f>"▼ [Fix - Casement]"</f>
        <v>▼ [Fix - Casement]</v>
      </c>
      <c r="H541" s="415" t="str">
        <f>"▼ [Hung Window - Casement]"</f>
        <v>▼ [Hung Window - Casement]</v>
      </c>
      <c r="I541" s="415" t="s">
        <v>1858</v>
      </c>
      <c r="J541" s="415" t="s">
        <v>1859</v>
      </c>
      <c r="K541" s="415" t="s">
        <v>1860</v>
      </c>
      <c r="L541" s="415" t="s">
        <v>1861</v>
      </c>
      <c r="M541" s="420">
        <v>0.54649999999999999</v>
      </c>
      <c r="N541" s="415">
        <v>609.6</v>
      </c>
      <c r="O541" s="415"/>
      <c r="P541" s="409" t="str" cm="1">
        <f t="array" ref="P5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1" s="409" t="str" cm="1">
        <f t="array" ref="Q541">_xlfn.LET(_xlpm.cd,INDEX($S:$S,ROW()),IF(_xlpm.cd="","",IFERROR(_xlfn.XLOOKUP(_xlpm.cd,CostData!$C$22:$C$1000,CostData!$B$22:$B$1000,""),"")))</f>
        <v>Aluminium</v>
      </c>
      <c r="R541" s="428" t="s">
        <v>1812</v>
      </c>
      <c r="S541" s="417" t="s">
        <v>1926</v>
      </c>
      <c r="T541" s="409" t="str" cm="1">
        <f t="array" ref="T541">_xlfn.LET(_xlpm.cd,INDEX($S:$S,ROW()),IF(_xlpm.cd="","",IFERROR(_xlfn.XLOOKUP(_xlpm.cd,CostData!$C$22:$C$1000,CostData!$E$22:$E$1000,""),"")))</f>
        <v>Outer</v>
      </c>
      <c r="U541" s="409" t="s">
        <v>103</v>
      </c>
      <c r="V54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541" s="421" t="str" cm="1">
        <f t="array" ref="W5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2" spans="1:23" x14ac:dyDescent="0.25">
      <c r="A542" s="275" t="s">
        <v>254</v>
      </c>
      <c r="B542" s="370" t="s">
        <v>1848</v>
      </c>
      <c r="C542" s="370" t="s">
        <v>1935</v>
      </c>
      <c r="D542" s="370" t="s">
        <v>1814</v>
      </c>
      <c r="E542" s="370" t="str">
        <v>Z-Louvre Blade - 2"</v>
      </c>
      <c r="G542" s="370" t="s">
        <v>1866</v>
      </c>
      <c r="H542" s="370" t="s">
        <v>1866</v>
      </c>
      <c r="P542" s="1" t="str" cm="1">
        <f t="array" ref="P5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2" s="1" t="str" cm="1">
        <f t="array" ref="Q542">_xlfn.LET(_xlpm.cd,INDEX($S:$S,ROW()),IF(_xlpm.cd="","",IFERROR(_xlfn.XLOOKUP(_xlpm.cd,CostData!$C$22:$C$1000,CostData!$B$22:$B$1000,""),"")))</f>
        <v>Aluminium</v>
      </c>
      <c r="R542" s="16" t="s">
        <v>1849</v>
      </c>
      <c r="S542" s="24" t="s">
        <v>1927</v>
      </c>
      <c r="T542" s="1" t="str" cm="1">
        <f t="array" ref="T542">_xlfn.LET(_xlpm.cd,INDEX($S:$S,ROW()),IF(_xlpm.cd="","",IFERROR(_xlfn.XLOOKUP(_xlpm.cd,CostData!$C$22:$C$1000,CostData!$E$22:$E$1000,""),"")))</f>
        <v>Inner</v>
      </c>
      <c r="U542" s="1" t="s">
        <v>103</v>
      </c>
      <c r="V542" s="1" cm="1">
        <f t="array" ref="V54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542" s="400" t="str" cm="1">
        <f t="array" ref="W5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3" spans="1:23" x14ac:dyDescent="0.25">
      <c r="A543" s="275" t="s">
        <v>254</v>
      </c>
      <c r="B543" s="370" t="s">
        <v>382</v>
      </c>
      <c r="C543" s="370" t="s">
        <v>1935</v>
      </c>
      <c r="D543" s="370" t="s">
        <v>1793</v>
      </c>
      <c r="E543" s="370" t="str">
        <v>Z-Louvre Blade - 5"</v>
      </c>
      <c r="G543" s="370" t="s">
        <v>1867</v>
      </c>
      <c r="H543" s="370" t="s">
        <v>1867</v>
      </c>
      <c r="P543" s="1" t="str" cm="1">
        <f t="array" ref="P5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3" s="1" t="str" cm="1">
        <f t="array" ref="Q543">_xlfn.LET(_xlpm.cd,INDEX($S:$S,ROW()),IF(_xlpm.cd="","",IFERROR(_xlfn.XLOOKUP(_xlpm.cd,CostData!$C$22:$C$1000,CostData!$B$22:$B$1000,""),"")))</f>
        <v>Aluminium</v>
      </c>
      <c r="R543" s="16" t="s">
        <v>1863</v>
      </c>
      <c r="S543" s="24" t="s">
        <v>1928</v>
      </c>
      <c r="T543" s="1" t="str" cm="1">
        <f t="array" ref="T543">_xlfn.LET(_xlpm.cd,INDEX($S:$S,ROW()),IF(_xlpm.cd="","",IFERROR(_xlfn.XLOOKUP(_xlpm.cd,CostData!$C$22:$C$1000,CostData!$E$22:$E$1000,""),"")))</f>
        <v>Mullion</v>
      </c>
      <c r="U543" s="1" t="s">
        <v>103</v>
      </c>
      <c r="V54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543" s="400" t="str" cm="1">
        <f t="array" ref="W5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4" spans="1:23" x14ac:dyDescent="0.25">
      <c r="A544" s="275" t="s">
        <v>254</v>
      </c>
      <c r="B544" s="370" t="s">
        <v>1847</v>
      </c>
      <c r="C544" s="370" t="s">
        <v>1935</v>
      </c>
      <c r="D544" s="370" t="s">
        <v>1815</v>
      </c>
      <c r="E544" s="370" t="str">
        <v/>
      </c>
      <c r="G544" s="370" t="s">
        <v>1868</v>
      </c>
      <c r="H544" s="370" t="s">
        <v>1868</v>
      </c>
      <c r="P544" s="1" t="str" cm="1">
        <f t="array" ref="P5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4" s="1" t="str" cm="1">
        <f t="array" ref="Q544">_xlfn.LET(_xlpm.cd,INDEX($S:$S,ROW()),IF(_xlpm.cd="","",IFERROR(_xlfn.XLOOKUP(_xlpm.cd,CostData!$C$22:$C$1000,CostData!$B$22:$B$1000,""),"")))</f>
        <v>Aluminium</v>
      </c>
      <c r="R544" s="16" t="s">
        <v>1862</v>
      </c>
      <c r="S544" s="24" t="s">
        <v>1928</v>
      </c>
      <c r="T544" s="1" t="str" cm="1">
        <f t="array" ref="T544">_xlfn.LET(_xlpm.cd,INDEX($S:$S,ROW()),IF(_xlpm.cd="","",IFERROR(_xlfn.XLOOKUP(_xlpm.cd,CostData!$C$22:$C$1000,CostData!$E$22:$E$1000,""),"")))</f>
        <v>Mullion</v>
      </c>
      <c r="U544" s="1" t="s">
        <v>103</v>
      </c>
      <c r="V54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44" s="400" t="str" cm="1">
        <f t="array" ref="W5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5" spans="1:23" x14ac:dyDescent="0.25">
      <c r="A545" s="275" t="s">
        <v>254</v>
      </c>
      <c r="C545" s="370" t="s">
        <v>1935</v>
      </c>
      <c r="E545" s="370" t="str">
        <v/>
      </c>
      <c r="G545" s="370" t="s">
        <v>1869</v>
      </c>
      <c r="H545" s="370" t="s">
        <v>1869</v>
      </c>
      <c r="P545" s="1" t="str" cm="1">
        <f t="array" ref="P5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5" s="1" t="str" cm="1">
        <f t="array" ref="Q545">_xlfn.LET(_xlpm.cd,INDEX($S:$S,ROW()),IF(_xlpm.cd="","",IFERROR(_xlfn.XLOOKUP(_xlpm.cd,CostData!$C$22:$C$1000,CostData!$B$22:$B$1000,""),"")))</f>
        <v/>
      </c>
      <c r="T545" s="1" t="str" cm="1">
        <f t="array" ref="T545">_xlfn.LET(_xlpm.cd,INDEX($S:$S,ROW()),IF(_xlpm.cd="","",IFERROR(_xlfn.XLOOKUP(_xlpm.cd,CostData!$C$22:$C$1000,CostData!$E$22:$E$1000,""),"")))</f>
        <v/>
      </c>
      <c r="V545" s="1" t="str" cm="1">
        <f t="array" ref="V545">IFERROR(_xlfn.XLOOKUP(1,(TRIM(CostData!$B$22:$B$1000)="Aluminium")*(TRIM(CostData!$C$22:$C$1000)="CWS")*(TRIM(CostData!$E$22:$E$1000)=TRIM($S545)),_xlfn.SWITCH(TRIM(Enginuity!$A$19),"N/A",CostData!$H$22:$H$1000,"M/B",CostData!$I$22:$I$1000,"P/C",CostData!$J$22:$J$1000,"W/G",CostData!$K$22:$K$1000,""),""),"")</f>
        <v/>
      </c>
      <c r="W545" s="400" t="str" cm="1">
        <f t="array" ref="W5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6" spans="1:23" x14ac:dyDescent="0.25">
      <c r="A546" s="275" t="s">
        <v>254</v>
      </c>
      <c r="C546" s="370" t="s">
        <v>1935</v>
      </c>
      <c r="E546" s="370" t="str">
        <v/>
      </c>
      <c r="G546" s="370" t="s">
        <v>1870</v>
      </c>
      <c r="H546" s="370" t="s">
        <v>1870</v>
      </c>
      <c r="P546" s="1" t="str" cm="1">
        <f t="array" ref="P5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6" s="1" t="str" cm="1">
        <f t="array" ref="Q546">_xlfn.LET(_xlpm.cd,INDEX($S:$S,ROW()),IF(_xlpm.cd="","",IFERROR(_xlfn.XLOOKUP(_xlpm.cd,CostData!$C$22:$C$1000,CostData!$B$22:$B$1000,""),"")))</f>
        <v/>
      </c>
      <c r="R546" s="16" t="str">
        <f>IF(Enginuity!$A$22="","",Enginuity!$A$22&amp;" Fix Window")</f>
        <v>▼ [Lattice] Fix Window</v>
      </c>
      <c r="T546" s="1" t="str" cm="1">
        <f t="array" ref="T546">_xlfn.LET(_xlpm.cd,INDEX($S:$S,ROW()),IF(_xlpm.cd="","",IFERROR(_xlfn.XLOOKUP(_xlpm.cd,CostData!$C$22:$C$1000,CostData!$E$22:$E$1000,""),"")))</f>
        <v/>
      </c>
      <c r="U546" s="1" t="s">
        <v>176</v>
      </c>
      <c r="V546" s="1">
        <v>1</v>
      </c>
      <c r="W546" s="400" t="str">
        <f>IF(Enginuity!$A$22&lt;&gt;"",$W$4,"")</f>
        <v/>
      </c>
    </row>
    <row r="547" spans="1:23" x14ac:dyDescent="0.25">
      <c r="A547" s="275" t="s">
        <v>254</v>
      </c>
      <c r="C547" s="370" t="s">
        <v>1935</v>
      </c>
      <c r="E547" s="370" t="str">
        <v/>
      </c>
      <c r="G547" s="370" t="s">
        <v>1871</v>
      </c>
      <c r="H547" s="370" t="s">
        <v>1871</v>
      </c>
      <c r="P547" s="1" t="str" cm="1">
        <f t="array" ref="P5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7" s="1" t="str" cm="1">
        <f t="array" ref="Q547">_xlfn.LET(_xlpm.cd,INDEX($S:$S,ROW()),IF(_xlpm.cd="","",IFERROR(_xlfn.XLOOKUP(_xlpm.cd,CostData!$C$22:$C$1000,CostData!$B$22:$B$1000,""),"")))</f>
        <v/>
      </c>
      <c r="T547" s="1" t="str" cm="1">
        <f t="array" ref="T547">_xlfn.LET(_xlpm.cd,INDEX($S:$S,ROW()),IF(_xlpm.cd="","",IFERROR(_xlfn.XLOOKUP(_xlpm.cd,CostData!$C$22:$C$1000,CostData!$E$22:$E$1000,""),"")))</f>
        <v/>
      </c>
      <c r="V547" s="1" t="str" cm="1">
        <f t="array" ref="V547">IFERROR(_xlfn.XLOOKUP(1,(TRIM(CostData!$B$22:$B$1000)="Aluminium")*(TRIM(CostData!$C$22:$C$1000)="CWS")*(TRIM(CostData!$E$22:$E$1000)=TRIM($S547)),_xlfn.SWITCH(TRIM(Enginuity!$A$19),"N/A",CostData!$H$22:$H$1000,"M/B",CostData!$I$22:$I$1000,"P/C",CostData!$J$22:$J$1000,"W/G",CostData!$K$22:$K$1000,""),""),"")</f>
        <v/>
      </c>
      <c r="W547" s="400" t="str" cm="1">
        <f t="array" ref="W5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8" spans="1:23" x14ac:dyDescent="0.25">
      <c r="A548" s="275" t="s">
        <v>254</v>
      </c>
      <c r="C548" s="370" t="s">
        <v>1935</v>
      </c>
      <c r="E548" s="370" t="str">
        <v/>
      </c>
      <c r="G548" s="370" t="s">
        <v>1872</v>
      </c>
      <c r="H548" s="370" t="s">
        <v>1872</v>
      </c>
      <c r="P548" s="1" t="str" cm="1">
        <f t="array" ref="P5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8" s="1" t="str" cm="1">
        <f t="array" ref="Q548">_xlfn.LET(_xlpm.cd,INDEX($S:$S,ROW()),IF(_xlpm.cd="","",IFERROR(_xlfn.XLOOKUP(_xlpm.cd,CostData!$C$22:$C$1000,CostData!$B$22:$B$1000,""),"")))</f>
        <v/>
      </c>
      <c r="T548" s="1" t="str" cm="1">
        <f t="array" ref="T548">_xlfn.LET(_xlpm.cd,INDEX($S:$S,ROW()),IF(_xlpm.cd="","",IFERROR(_xlfn.XLOOKUP(_xlpm.cd,CostData!$C$22:$C$1000,CostData!$E$22:$E$1000,""),"")))</f>
        <v/>
      </c>
      <c r="V548" s="1" t="str" cm="1">
        <f t="array" ref="V548">IFERROR(_xlfn.XLOOKUP(1,(TRIM(CostData!$B$22:$B$1000)="Aluminium")*(TRIM(CostData!$C$22:$C$1000)="CWS")*(TRIM(CostData!$E$22:$E$1000)=TRIM($S548)),_xlfn.SWITCH(TRIM(Enginuity!$A$19),"N/A",CostData!$H$22:$H$1000,"M/B",CostData!$I$22:$I$1000,"P/C",CostData!$J$22:$J$1000,"W/G",CostData!$K$22:$K$1000,""),""),"")</f>
        <v/>
      </c>
      <c r="W548" s="400" t="str" cm="1">
        <f t="array" ref="W5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9" spans="1:23" x14ac:dyDescent="0.25">
      <c r="A549" s="275" t="s">
        <v>254</v>
      </c>
      <c r="C549" s="370" t="s">
        <v>1935</v>
      </c>
      <c r="E549" s="370" t="str">
        <v/>
      </c>
      <c r="G549" s="370" t="s">
        <v>1873</v>
      </c>
      <c r="H549" s="370" t="s">
        <v>1873</v>
      </c>
      <c r="P549" s="1" t="str" cm="1">
        <f t="array" ref="P5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9" s="1" t="str" cm="1">
        <f t="array" ref="Q549">_xlfn.LET(_xlpm.cd,INDEX($S:$S,ROW()),IF(_xlpm.cd="","",IFERROR(_xlfn.XLOOKUP(_xlpm.cd,CostData!$C$22:$C$1000,CostData!$B$22:$B$1000,""),"")))</f>
        <v/>
      </c>
      <c r="T549" s="1" t="str" cm="1">
        <f t="array" ref="T549">_xlfn.LET(_xlpm.cd,INDEX($S:$S,ROW()),IF(_xlpm.cd="","",IFERROR(_xlfn.XLOOKUP(_xlpm.cd,CostData!$C$22:$C$1000,CostData!$E$22:$E$1000,""),"")))</f>
        <v/>
      </c>
      <c r="V549" s="1" t="str" cm="1">
        <f t="array" ref="V549">IFERROR(_xlfn.XLOOKUP(1,(TRIM(CostData!$B$22:$B$1000)="Aluminium")*(TRIM(CostData!$C$22:$C$1000)="CWS")*(TRIM(CostData!$E$22:$E$1000)=TRIM($S549)),_xlfn.SWITCH(TRIM(Enginuity!$A$19),"N/A",CostData!$H$22:$H$1000,"M/B",CostData!$I$22:$I$1000,"P/C",CostData!$J$22:$J$1000,"W/G",CostData!$K$22:$K$1000,""),""),"")</f>
        <v/>
      </c>
      <c r="W549" s="400" t="str" cm="1">
        <f t="array" ref="W5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0" spans="1:23" x14ac:dyDescent="0.25">
      <c r="A550" s="275" t="s">
        <v>254</v>
      </c>
      <c r="C550" s="370" t="s">
        <v>1935</v>
      </c>
      <c r="E550" s="370" t="str">
        <v/>
      </c>
      <c r="P550" s="1" t="str" cm="1">
        <f t="array" ref="P5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0" s="1" t="str" cm="1">
        <f t="array" ref="Q550">_xlfn.LET(_xlpm.cd,INDEX($S:$S,ROW()),IF(_xlpm.cd="","",IFERROR(_xlfn.XLOOKUP(_xlpm.cd,CostData!$C$22:$C$1000,CostData!$B$22:$B$1000,""),"")))</f>
        <v/>
      </c>
      <c r="T550" s="1" t="str" cm="1">
        <f t="array" ref="T550">_xlfn.LET(_xlpm.cd,INDEX($S:$S,ROW()),IF(_xlpm.cd="","",IFERROR(_xlfn.XLOOKUP(_xlpm.cd,CostData!$C$22:$C$1000,CostData!$E$22:$E$1000,""),"")))</f>
        <v/>
      </c>
      <c r="V550" s="1" t="str" cm="1">
        <f t="array" ref="V550">IFERROR(_xlfn.XLOOKUP(1,(TRIM(CostData!$B$22:$B$1000)="Aluminium")*(TRIM(CostData!$C$22:$C$1000)="CWS")*(TRIM(CostData!$E$22:$E$1000)=TRIM($S550)),_xlfn.SWITCH(TRIM(Enginuity!$A$19),"N/A",CostData!$H$22:$H$1000,"M/B",CostData!$I$22:$I$1000,"P/C",CostData!$J$22:$J$1000,"W/G",CostData!$K$22:$K$1000,""),""),"")</f>
        <v/>
      </c>
      <c r="W550" s="400" t="str" cm="1">
        <f t="array" ref="W5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1" spans="1:23" x14ac:dyDescent="0.25">
      <c r="A551" s="275" t="s">
        <v>254</v>
      </c>
      <c r="C551" s="370" t="s">
        <v>1935</v>
      </c>
      <c r="P551" s="1" t="str" cm="1">
        <f t="array" ref="P5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1" s="1" t="str" cm="1">
        <f t="array" ref="Q551">_xlfn.LET(_xlpm.cd,INDEX($S:$S,ROW()),IF(_xlpm.cd="","",IFERROR(_xlfn.XLOOKUP(_xlpm.cd,CostData!$C$22:$C$1000,CostData!$B$22:$B$1000,""),"")))</f>
        <v/>
      </c>
      <c r="T551" s="1" t="str" cm="1">
        <f t="array" ref="T551">_xlfn.LET(_xlpm.cd,INDEX($S:$S,ROW()),IF(_xlpm.cd="","",IFERROR(_xlfn.XLOOKUP(_xlpm.cd,CostData!$C$22:$C$1000,CostData!$E$22:$E$1000,""),"")))</f>
        <v/>
      </c>
      <c r="V551" s="1" t="str" cm="1">
        <f t="array" ref="V551">IFERROR(_xlfn.XLOOKUP(1,(TRIM(CostData!$B$22:$B$1000)="Aluminium")*(TRIM(CostData!$C$22:$C$1000)="CWS")*(TRIM(CostData!$E$22:$E$1000)=TRIM($S551)),_xlfn.SWITCH(TRIM(Enginuity!$A$19),"N/A",CostData!$H$22:$H$1000,"M/B",CostData!$I$22:$I$1000,"P/C",CostData!$J$22:$J$1000,"W/G",CostData!$K$22:$K$1000,""),""),"")</f>
        <v/>
      </c>
      <c r="W551" s="400" t="str" cm="1">
        <f t="array" ref="W5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2" spans="1:23" x14ac:dyDescent="0.25">
      <c r="A552" s="275" t="s">
        <v>254</v>
      </c>
      <c r="C552" s="370" t="s">
        <v>1935</v>
      </c>
      <c r="P552" s="1" t="str" cm="1">
        <f t="array" ref="P5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2" s="1" t="str" cm="1">
        <f t="array" ref="Q552">_xlfn.LET(_xlpm.cd,INDEX($S:$S,ROW()),IF(_xlpm.cd="","",IFERROR(_xlfn.XLOOKUP(_xlpm.cd,CostData!$C$22:$C$1000,CostData!$B$22:$B$1000,""),"")))</f>
        <v/>
      </c>
      <c r="T552" s="1" t="str" cm="1">
        <f t="array" ref="T552">_xlfn.LET(_xlpm.cd,INDEX($S:$S,ROW()),IF(_xlpm.cd="","",IFERROR(_xlfn.XLOOKUP(_xlpm.cd,CostData!$C$22:$C$1000,CostData!$E$22:$E$1000,""),"")))</f>
        <v/>
      </c>
      <c r="V552" s="1" t="str" cm="1">
        <f t="array" ref="V552">IFERROR(_xlfn.XLOOKUP(1,(TRIM(CostData!$B$22:$B$1000)="Aluminium")*(TRIM(CostData!$C$22:$C$1000)="CWS")*(TRIM(CostData!$E$22:$E$1000)=TRIM($S552)),_xlfn.SWITCH(TRIM(Enginuity!$A$19),"N/A",CostData!$H$22:$H$1000,"M/B",CostData!$I$22:$I$1000,"P/C",CostData!$J$22:$J$1000,"W/G",CostData!$K$22:$K$1000,""),""),"")</f>
        <v/>
      </c>
      <c r="W552" s="400" t="str" cm="1">
        <f t="array" ref="W5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3" spans="1:23" x14ac:dyDescent="0.25">
      <c r="A553" s="275" t="s">
        <v>254</v>
      </c>
      <c r="C553" s="370" t="s">
        <v>1935</v>
      </c>
      <c r="P553" s="1" t="str" cm="1">
        <f t="array" ref="P5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3" s="1" t="str" cm="1">
        <f t="array" ref="Q553">_xlfn.LET(_xlpm.cd,INDEX($S:$S,ROW()),IF(_xlpm.cd="","",IFERROR(_xlfn.XLOOKUP(_xlpm.cd,CostData!$C$22:$C$1000,CostData!$B$22:$B$1000,""),"")))</f>
        <v/>
      </c>
      <c r="T553" s="1" t="str" cm="1">
        <f t="array" ref="T553">_xlfn.LET(_xlpm.cd,INDEX($S:$S,ROW()),IF(_xlpm.cd="","",IFERROR(_xlfn.XLOOKUP(_xlpm.cd,CostData!$C$22:$C$1000,CostData!$E$22:$E$1000,""),"")))</f>
        <v/>
      </c>
      <c r="V553" s="1" t="str" cm="1">
        <f t="array" ref="V553">IFERROR(_xlfn.XLOOKUP(1,(TRIM(CostData!$B$22:$B$1000)="Aluminium")*(TRIM(CostData!$C$22:$C$1000)="CWS")*(TRIM(CostData!$E$22:$E$1000)=TRIM($S553)),_xlfn.SWITCH(TRIM(Enginuity!$A$19),"N/A",CostData!$H$22:$H$1000,"M/B",CostData!$I$22:$I$1000,"P/C",CostData!$J$22:$J$1000,"W/G",CostData!$K$22:$K$1000,""),""),"")</f>
        <v/>
      </c>
      <c r="W553" s="400" t="str" cm="1">
        <f t="array" ref="W5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4" spans="1:23" x14ac:dyDescent="0.25">
      <c r="A554" s="275" t="s">
        <v>254</v>
      </c>
      <c r="C554" s="370" t="s">
        <v>1935</v>
      </c>
      <c r="P554" s="1" t="str" cm="1">
        <f t="array" ref="P5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4" s="1" t="str" cm="1">
        <f t="array" ref="Q554">_xlfn.LET(_xlpm.cd,INDEX($S:$S,ROW()),IF(_xlpm.cd="","",IFERROR(_xlfn.XLOOKUP(_xlpm.cd,CostData!$C$22:$C$1000,CostData!$B$22:$B$1000,""),"")))</f>
        <v/>
      </c>
      <c r="T554" s="1" t="str" cm="1">
        <f t="array" ref="T554">_xlfn.LET(_xlpm.cd,INDEX($S:$S,ROW()),IF(_xlpm.cd="","",IFERROR(_xlfn.XLOOKUP(_xlpm.cd,CostData!$C$22:$C$1000,CostData!$E$22:$E$1000,""),"")))</f>
        <v/>
      </c>
      <c r="V554" s="1" t="str" cm="1">
        <f t="array" ref="V554">IFERROR(_xlfn.XLOOKUP(1,(TRIM(CostData!$B$22:$B$1000)="Aluminium")*(TRIM(CostData!$C$22:$C$1000)="CWS")*(TRIM(CostData!$E$22:$E$1000)=TRIM($S554)),_xlfn.SWITCH(TRIM(Enginuity!$A$19),"N/A",CostData!$H$22:$H$1000,"M/B",CostData!$I$22:$I$1000,"P/C",CostData!$J$22:$J$1000,"W/G",CostData!$K$22:$K$1000,""),""),"")</f>
        <v/>
      </c>
      <c r="W554" s="400" t="str" cm="1">
        <f t="array" ref="W5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5" spans="1:23" x14ac:dyDescent="0.25">
      <c r="A555" s="275" t="s">
        <v>254</v>
      </c>
      <c r="C555" s="370" t="s">
        <v>1935</v>
      </c>
      <c r="P555" s="1" t="str" cm="1">
        <f t="array" ref="P5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5" s="1" t="str" cm="1">
        <f t="array" ref="Q555">_xlfn.LET(_xlpm.cd,INDEX($S:$S,ROW()),IF(_xlpm.cd="","",IFERROR(_xlfn.XLOOKUP(_xlpm.cd,CostData!$C$22:$C$1000,CostData!$B$22:$B$1000,""),"")))</f>
        <v/>
      </c>
      <c r="T555" s="1" t="str" cm="1">
        <f t="array" ref="T555">_xlfn.LET(_xlpm.cd,INDEX($S:$S,ROW()),IF(_xlpm.cd="","",IFERROR(_xlfn.XLOOKUP(_xlpm.cd,CostData!$C$22:$C$1000,CostData!$E$22:$E$1000,""),"")))</f>
        <v/>
      </c>
      <c r="V555" s="1" t="str" cm="1">
        <f t="array" ref="V555">IFERROR(_xlfn.XLOOKUP(1,(TRIM(CostData!$B$22:$B$1000)="Aluminium")*(TRIM(CostData!$C$22:$C$1000)="CWS")*(TRIM(CostData!$E$22:$E$1000)=TRIM($S555)),_xlfn.SWITCH(TRIM(Enginuity!$A$19),"N/A",CostData!$H$22:$H$1000,"M/B",CostData!$I$22:$I$1000,"P/C",CostData!$J$22:$J$1000,"W/G",CostData!$K$22:$K$1000,""),""),"")</f>
        <v/>
      </c>
      <c r="W555" s="400" t="str" cm="1">
        <f t="array" ref="W5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6" spans="1:23" x14ac:dyDescent="0.25">
      <c r="A556" s="275" t="s">
        <v>254</v>
      </c>
      <c r="C556" s="370" t="s">
        <v>1935</v>
      </c>
      <c r="P556" s="1" t="str" cm="1">
        <f t="array" ref="P5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6" s="1" t="str" cm="1">
        <f t="array" ref="Q556">_xlfn.LET(_xlpm.cd,INDEX($S:$S,ROW()),IF(_xlpm.cd="","",IFERROR(_xlfn.XLOOKUP(_xlpm.cd,CostData!$C$22:$C$1000,CostData!$B$22:$B$1000,""),"")))</f>
        <v/>
      </c>
      <c r="T556" s="1" t="str" cm="1">
        <f t="array" ref="T556">_xlfn.LET(_xlpm.cd,INDEX($S:$S,ROW()),IF(_xlpm.cd="","",IFERROR(_xlfn.XLOOKUP(_xlpm.cd,CostData!$C$22:$C$1000,CostData!$E$22:$E$1000,""),"")))</f>
        <v/>
      </c>
      <c r="V556" s="1" t="str" cm="1">
        <f t="array" ref="V556">IFERROR(_xlfn.XLOOKUP(1,(TRIM(CostData!$B$22:$B$1000)="Aluminium")*(TRIM(CostData!$C$22:$C$1000)="CWS")*(TRIM(CostData!$E$22:$E$1000)=TRIM($S556)),_xlfn.SWITCH(TRIM(Enginuity!$A$19),"N/A",CostData!$H$22:$H$1000,"M/B",CostData!$I$22:$I$1000,"P/C",CostData!$J$22:$J$1000,"W/G",CostData!$K$22:$K$1000,""),""),"")</f>
        <v/>
      </c>
      <c r="W556" s="400" t="str" cm="1">
        <f t="array" ref="W5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7" spans="1:23" x14ac:dyDescent="0.25">
      <c r="A557" s="275" t="s">
        <v>254</v>
      </c>
      <c r="C557" s="370" t="s">
        <v>1935</v>
      </c>
      <c r="P557" s="1" t="str" cm="1">
        <f t="array" ref="P5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7" s="1" t="s">
        <v>1833</v>
      </c>
      <c r="R557" s="16" t="str">
        <f>IF($T557="","","⬒ "&amp;$T557)</f>
        <v>⬒ Z-Louvre Blade - 5"</v>
      </c>
      <c r="T557" s="1" t="str">
        <f>IF(Enginuity!$A$20="","",Enginuity!$A$20)</f>
        <v>Z-Louvre Blade - 5"</v>
      </c>
      <c r="U557" s="1" t="s">
        <v>121</v>
      </c>
      <c r="V557" s="1">
        <f>IF(Enginuity!$B$9="","",Enginuity!$B$9)</f>
        <v>200</v>
      </c>
      <c r="W557" s="400">
        <f>IFERROR(INDEX(CostData!$Q$3:$Q$12,MATCH(TRIM(Enginuity!$A$20),CostData!$P$3:$P$12,0)),"")</f>
        <v>31.774000000000001</v>
      </c>
    </row>
    <row r="558" spans="1:23" x14ac:dyDescent="0.25">
      <c r="A558" s="275" t="s">
        <v>254</v>
      </c>
      <c r="C558" s="370" t="s">
        <v>1935</v>
      </c>
      <c r="P558" s="1" t="str" cm="1">
        <f t="array" ref="P5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8" s="1" t="str" cm="1">
        <f t="array" ref="V558">IFERROR(_xlfn.XLOOKUP(1,(TRIM(CostData!$B$22:$B$1000)="Aluminium")*(TRIM(CostData!$C$22:$C$1000)="CWS")*(TRIM(CostData!$E$22:$E$1000)=TRIM($S558)),_xlfn.SWITCH(TRIM(Enginuity!$A$19),"N/A",CostData!$H$22:$H$1000,"M/B",CostData!$I$22:$I$1000,"P/C",CostData!$J$22:$J$1000,"W/G",CostData!$K$22:$K$1000,""),""),"")</f>
        <v/>
      </c>
      <c r="W558" s="400" t="str" cm="1">
        <f t="array" ref="W558">IF(OR(TRIM(CalcEngine!$A558)&lt;&gt;TRIM(Enginuity!$A$1),TRIM(CalcEngine!$C558)&lt;&gt;TRIM(Enginuity!$A$18),CalcEngine!$V558="",CalcEngine!$V558=0),"",IFERROR(_xlfn.XLOOKUP(1,(TRIM(CostData!$B$22:$B$1000)="Aluminium")*(TRIM(CostData!$C$22:$C$1000)="CWS")*(TRIM(CostData!$E$22:$E$1000)=TRIM(CalcEngine!$T558)),_xlfn.SWITCH(TRIM(Enginuity!$A$19),"N/A",CostData!$H$22:$H$1000,"M/B",CostData!$I$22:$I$1000,"P/C",CostData!$J$22:$J$1000,"W/G",CostData!$K$22:$K$1000,""),""),""))</f>
        <v/>
      </c>
    </row>
    <row r="559" spans="1:23" x14ac:dyDescent="0.25">
      <c r="A559" s="275" t="s">
        <v>254</v>
      </c>
      <c r="C559" s="370" t="s">
        <v>1935</v>
      </c>
      <c r="P559" s="1" t="str" cm="1">
        <f t="array" ref="P5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9" s="1" t="str" cm="1">
        <f t="array" ref="V559">IFERROR(_xlfn.XLOOKUP(1,(TRIM(CostData!$B$22:$B$1000)="Aluminium")*(TRIM(CostData!$C$22:$C$1000)="CWS")*(TRIM(CostData!$E$22:$E$1000)=TRIM($S559)),_xlfn.SWITCH(TRIM(Enginuity!$A$19),"N/A",CostData!$H$22:$H$1000,"M/B",CostData!$I$22:$I$1000,"P/C",CostData!$J$22:$J$1000,"W/G",CostData!$K$22:$K$1000,""),""),"")</f>
        <v/>
      </c>
      <c r="W559" s="400" t="str" cm="1">
        <f t="array" ref="W559">IF(OR(TRIM(CalcEngine!$A559)&lt;&gt;TRIM(Enginuity!$A$1),TRIM(CalcEngine!$C559)&lt;&gt;TRIM(Enginuity!$A$18),CalcEngine!$V559="",CalcEngine!$V559=0),"",IFERROR(_xlfn.XLOOKUP(1,(TRIM(CostData!$B$22:$B$1000)="Aluminium")*(TRIM(CostData!$C$22:$C$1000)="CWS")*(TRIM(CostData!$E$22:$E$1000)=TRIM(CalcEngine!$T559)),_xlfn.SWITCH(TRIM(Enginuity!$A$19),"N/A",CostData!$H$22:$H$1000,"M/B",CostData!$I$22:$I$1000,"P/C",CostData!$J$22:$J$1000,"W/G",CostData!$K$22:$K$1000,""),""),""))</f>
        <v/>
      </c>
    </row>
    <row r="560" spans="1:23" x14ac:dyDescent="0.25">
      <c r="A560" s="275" t="s">
        <v>254</v>
      </c>
      <c r="C560" s="370" t="s">
        <v>1935</v>
      </c>
      <c r="P560" s="1" t="str" cm="1">
        <f t="array" ref="P5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0" s="1" t="str" cm="1">
        <f t="array" ref="V560">IFERROR(_xlfn.XLOOKUP(1,(TRIM(CostData!$B$22:$B$1000)="Aluminium")*(TRIM(CostData!$C$22:$C$1000)="CWS")*(TRIM(CostData!$E$22:$E$1000)=TRIM($S560)),_xlfn.SWITCH(TRIM(Enginuity!$A$19),"N/A",CostData!$H$22:$H$1000,"M/B",CostData!$I$22:$I$1000,"P/C",CostData!$J$22:$J$1000,"W/G",CostData!$K$22:$K$1000,""),""),"")</f>
        <v/>
      </c>
      <c r="W560" s="400" t="str" cm="1">
        <f t="array" ref="W560">IF(OR(TRIM(CalcEngine!$A560)&lt;&gt;TRIM(Enginuity!$A$1),TRIM(CalcEngine!$C560)&lt;&gt;TRIM(Enginuity!$A$18),CalcEngine!$V560="",CalcEngine!$V560=0),"",IFERROR(_xlfn.XLOOKUP(1,(TRIM(CostData!$B$22:$B$1000)="Aluminium")*(TRIM(CostData!$C$22:$C$1000)="CWS")*(TRIM(CostData!$E$22:$E$1000)=TRIM(CalcEngine!$T560)),_xlfn.SWITCH(TRIM(Enginuity!$A$19),"N/A",CostData!$H$22:$H$1000,"M/B",CostData!$I$22:$I$1000,"P/C",CostData!$J$22:$J$1000,"W/G",CostData!$K$22:$K$1000,""),""),""))</f>
        <v/>
      </c>
    </row>
    <row r="561" spans="1:23" x14ac:dyDescent="0.25">
      <c r="A561" s="275" t="s">
        <v>254</v>
      </c>
      <c r="C561" s="370" t="s">
        <v>1935</v>
      </c>
      <c r="P561" s="1" t="str" cm="1">
        <f t="array" ref="P5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1" s="1" t="str" cm="1">
        <f t="array" ref="V561">IFERROR(_xlfn.XLOOKUP(1,(TRIM(CostData!$B$22:$B$1000)="Aluminium")*(TRIM(CostData!$C$22:$C$1000)="CWS")*(TRIM(CostData!$E$22:$E$1000)=TRIM($S561)),_xlfn.SWITCH(TRIM(Enginuity!$A$19),"N/A",CostData!$H$22:$H$1000,"M/B",CostData!$I$22:$I$1000,"P/C",CostData!$J$22:$J$1000,"W/G",CostData!$K$22:$K$1000,""),""),"")</f>
        <v/>
      </c>
      <c r="W561" s="400" t="str" cm="1">
        <f t="array" ref="W561">IF(OR(TRIM(CalcEngine!$A561)&lt;&gt;TRIM(Enginuity!$A$1),TRIM(CalcEngine!$C561)&lt;&gt;TRIM(Enginuity!$A$18),CalcEngine!$V561="",CalcEngine!$V561=0),"",IFERROR(_xlfn.XLOOKUP(1,(TRIM(CostData!$B$22:$B$1000)="Aluminium")*(TRIM(CostData!$C$22:$C$1000)="CWS")*(TRIM(CostData!$E$22:$E$1000)=TRIM(CalcEngine!$T561)),_xlfn.SWITCH(TRIM(Enginuity!$A$19),"N/A",CostData!$H$22:$H$1000,"M/B",CostData!$I$22:$I$1000,"P/C",CostData!$J$22:$J$1000,"W/G",CostData!$K$22:$K$1000,""),""),""))</f>
        <v/>
      </c>
    </row>
    <row r="562" spans="1:23" x14ac:dyDescent="0.25">
      <c r="A562" s="275" t="s">
        <v>254</v>
      </c>
      <c r="C562" s="370" t="s">
        <v>1935</v>
      </c>
      <c r="P562" s="1" t="str" cm="1">
        <f t="array" ref="P5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62" s="400"/>
    </row>
    <row r="563" spans="1:23" x14ac:dyDescent="0.25">
      <c r="A563" s="275" t="s">
        <v>254</v>
      </c>
      <c r="C563" s="370" t="s">
        <v>1935</v>
      </c>
      <c r="P563" s="1" t="str" cm="1">
        <f t="array" ref="P5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3" s="1" t="str">
        <f>IF($S563="","",IFERROR(_xlfn.XLOOKUP($S563,CostData!$U$22:$U$1000,CostData!$T$22:$T$1000,""),""))</f>
        <v>Hinge</v>
      </c>
      <c r="R563" s="16" t="str">
        <f>IF($S563="","",$T563)</f>
        <v>Hung Friction Stay</v>
      </c>
      <c r="S563" s="24" t="s">
        <v>1880</v>
      </c>
      <c r="T563" s="1" t="str" cm="1">
        <f t="array" ref="T563">_xlfn.LET(_xlpm.cd,INDEX($S:$S,ROW()),IF(_xlpm.cd="","",IFERROR(_xlfn.XLOOKUP(_xlpm.cd,CostData!$U$22:$U$1000,CostData!$W$22:$W$1000,""),"")))</f>
        <v>Hung Friction Stay</v>
      </c>
      <c r="U563" s="1" t="str">
        <f>IF($S563="","",IFERROR(_xlfn.XLOOKUP($S563,CostData!$U$22:$U$1000,CostData!$AA$22:$AA$1000,""),""))</f>
        <v>Pair</v>
      </c>
      <c r="V563" s="1" t="str" cm="1">
        <f t="array" ref="V56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63" s="400" t="str" cm="1">
        <f t="array" ref="W5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4" spans="1:23" x14ac:dyDescent="0.25">
      <c r="A564" s="275" t="s">
        <v>254</v>
      </c>
      <c r="C564" s="370" t="s">
        <v>1935</v>
      </c>
      <c r="P564" s="1" t="str" cm="1">
        <f t="array" ref="P5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4" s="1" t="str">
        <f>IF($S564="","",IFERROR(_xlfn.XLOOKUP($S564,CostData!$U$22:$U$1000,CostData!$T$22:$T$1000,""),""))</f>
        <v>Hinge</v>
      </c>
      <c r="R564" s="16" t="str">
        <f>IF($S564="","",$T564)</f>
        <v>Casement Friction Stay</v>
      </c>
      <c r="S564" s="24" t="s">
        <v>1879</v>
      </c>
      <c r="T564" s="1" t="str" cm="1">
        <f t="array" ref="T564">_xlfn.LET(_xlpm.cd,INDEX($S:$S,ROW()),IF(_xlpm.cd="","",IFERROR(_xlfn.XLOOKUP(_xlpm.cd,CostData!$U$22:$U$1000,CostData!$W$22:$W$1000,""),"")))</f>
        <v>Casement Friction Stay</v>
      </c>
      <c r="U564" s="1" t="str">
        <f>IF($S564="","",IFERROR(_xlfn.XLOOKUP($S564,CostData!$U$22:$U$1000,CostData!$AA$22:$AA$1000,""),""))</f>
        <v>Pair</v>
      </c>
      <c r="V564" s="1">
        <f>IF(Enginuity!$B$13&gt;0,Enginuity!$B$13,"")</f>
        <v>7</v>
      </c>
      <c r="W564" s="400" t="str" cm="1">
        <f t="array" ref="W5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5" spans="1:23" x14ac:dyDescent="0.25">
      <c r="A565" s="275" t="s">
        <v>254</v>
      </c>
      <c r="C565" s="370" t="s">
        <v>1935</v>
      </c>
      <c r="P565" s="1" t="str" cm="1">
        <f t="array" ref="P5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5" s="1" t="str">
        <f>IF($S565="","",IFERROR(_xlfn.XLOOKUP($S565,CostData!$U$22:$U$1000,CostData!$T$22:$T$1000,""),""))</f>
        <v>Handle</v>
      </c>
      <c r="R565" s="16" t="str">
        <f>IF($S565="","",$T565)</f>
        <v>Casement Handle</v>
      </c>
      <c r="S565" s="24" t="s">
        <v>113</v>
      </c>
      <c r="T565" s="1" t="str" cm="1">
        <f t="array" ref="T565">_xlfn.LET(_xlpm.cd,INDEX($S:$S,ROW()),IF(_xlpm.cd="","",IFERROR(_xlfn.XLOOKUP(_xlpm.cd,CostData!$U$22:$U$1000,CostData!$W$22:$W$1000,""),"")))</f>
        <v>Casement Handle</v>
      </c>
      <c r="U565" s="1" t="str">
        <f>IF($S565="","",IFERROR(_xlfn.XLOOKUP($S565,CostData!$U$22:$U$1000,CostData!$AA$22:$AA$1000,""),""))</f>
        <v>Pcs</v>
      </c>
      <c r="V565" s="1" cm="1">
        <f t="array" ref="V56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65" s="400" t="str" cm="1">
        <f t="array" ref="W5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6" spans="1:23" x14ac:dyDescent="0.25">
      <c r="A566" s="275" t="s">
        <v>254</v>
      </c>
      <c r="C566" s="370" t="s">
        <v>1935</v>
      </c>
      <c r="P566" s="1" t="str" cm="1">
        <f t="array" ref="P5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6" s="1" t="str">
        <f>IF($S566="","",IFERROR(_xlfn.XLOOKUP($S566,CostData!$U$22:$U$1000,CostData!$T$22:$T$1000,""),""))</f>
        <v>Black Tape</v>
      </c>
      <c r="R566" s="16" t="str">
        <f>IF($S566="","",$T566)</f>
        <v>2.5" x 2 Black Tape</v>
      </c>
      <c r="S566" s="24" t="s">
        <v>1898</v>
      </c>
      <c r="T566" s="1" t="str" cm="1">
        <f t="array" ref="T566">_xlfn.LET(_xlpm.cd,INDEX($S:$S,ROW()),IF(_xlpm.cd="","",IFERROR(_xlfn.XLOOKUP(_xlpm.cd,CostData!$U$22:$U$1000,CostData!$W$22:$W$1000,""),"")))</f>
        <v>2.5" x 2 Black Tape</v>
      </c>
      <c r="U566" s="1" t="str">
        <f>IF($S566="","",IFERROR(_xlfn.XLOOKUP($S566,CostData!$U$22:$U$1000,CostData!$AA$22:$AA$1000,""),""))</f>
        <v>Ft</v>
      </c>
      <c r="V566" s="1">
        <f>IF(SUM($V$61:$V$64)=0,"",SUM($V$61:$V$64))</f>
        <v>440</v>
      </c>
      <c r="W566" s="400" t="str" cm="1">
        <f t="array" ref="W5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7" spans="1:23" x14ac:dyDescent="0.25">
      <c r="A567" s="275" t="s">
        <v>254</v>
      </c>
      <c r="C567" s="370" t="s">
        <v>1935</v>
      </c>
      <c r="P567" s="1" t="str" cm="1">
        <f t="array" ref="P5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7" s="1" t="str">
        <f>IF($S567="","",IFERROR(_xlfn.XLOOKUP($S567,CostData!$U$22:$U$1000,CostData!$T$22:$T$1000,""),""))</f>
        <v>Gasket</v>
      </c>
      <c r="R567" s="16" t="s">
        <v>1931</v>
      </c>
      <c r="S567" s="24" t="s">
        <v>1912</v>
      </c>
      <c r="T567" s="1" t="str" cm="1">
        <f t="array" ref="T567">_xlfn.LET(_xlpm.cd,INDEX($S:$S,ROW()),IF(_xlpm.cd="","",IFERROR(_xlfn.XLOOKUP(_xlpm.cd,CostData!$U$22:$U$1000,CostData!$W$22:$W$1000,""),"")))</f>
        <v>F18 Gasket</v>
      </c>
      <c r="U567" s="1" t="str">
        <f>IF($S567="","",IFERROR(_xlfn.XLOOKUP($S567,CostData!$U$22:$U$1000,CostData!$AA$22:$AA$1000,""),""))</f>
        <v>Ft</v>
      </c>
      <c r="V567" s="1">
        <f>IF($V$61="","",$V$61)</f>
        <v>200</v>
      </c>
      <c r="W567" s="400" t="str" cm="1">
        <f t="array" ref="W5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8" spans="1:23" x14ac:dyDescent="0.25">
      <c r="A568" s="275" t="s">
        <v>254</v>
      </c>
      <c r="C568" s="370" t="s">
        <v>1935</v>
      </c>
      <c r="P568" s="1" t="str" cm="1">
        <f t="array" ref="P5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8" s="1" t="str">
        <f>IF($S568="","",IFERROR(_xlfn.XLOOKUP($S568,CostData!$U$22:$U$1000,CostData!$T$22:$T$1000,""),""))</f>
        <v>Gasket</v>
      </c>
      <c r="R568" s="16" t="s">
        <v>1932</v>
      </c>
      <c r="S568" s="24" t="s">
        <v>1916</v>
      </c>
      <c r="T568" s="1" t="str" cm="1">
        <f t="array" ref="T568">_xlfn.LET(_xlpm.cd,INDEX($S:$S,ROW()),IF(_xlpm.cd="","",IFERROR(_xlfn.XLOOKUP(_xlpm.cd,CostData!$U$22:$U$1000,CostData!$W$22:$W$1000,""),"")))</f>
        <v>F16S Gasket</v>
      </c>
      <c r="U568" s="1" t="str">
        <f>IF($S568="","",IFERROR(_xlfn.XLOOKUP($S568,CostData!$U$22:$U$1000,CostData!$AA$22:$AA$1000,""),""))</f>
        <v>Ft</v>
      </c>
      <c r="V568" s="1">
        <f>IF($V$62="","",$V$62)</f>
        <v>180</v>
      </c>
      <c r="W568" s="400" t="str" cm="1">
        <f t="array" ref="W5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9" spans="1:23" x14ac:dyDescent="0.25">
      <c r="A569" s="275" t="s">
        <v>254</v>
      </c>
      <c r="C569" s="370" t="s">
        <v>1935</v>
      </c>
      <c r="P569" s="1" t="str" cm="1">
        <f t="array" ref="P5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9" s="1" t="str">
        <f>IF($S569="","",IFERROR(_xlfn.XLOOKUP($S569,CostData!$U$22:$U$1000,CostData!$T$22:$T$1000,""),""))</f>
        <v>Gasket</v>
      </c>
      <c r="R569" s="16" t="s">
        <v>1930</v>
      </c>
      <c r="S569" s="24">
        <v>6154</v>
      </c>
      <c r="T569" s="1" t="str" cm="1">
        <f t="array" ref="T569">_xlfn.LET(_xlpm.cd,INDEX($S:$S,ROW()),IF(_xlpm.cd="","",IFERROR(_xlfn.XLOOKUP(_xlpm.cd,CostData!$U$22:$U$1000,CostData!$W$22:$W$1000,""),"")))</f>
        <v>6154 Gasket</v>
      </c>
      <c r="U569" s="1" t="str">
        <f>IF($S569="","",IFERROR(_xlfn.XLOOKUP($S569,CostData!$U$22:$U$1000,CostData!$AA$22:$AA$1000,""),""))</f>
        <v>Ft</v>
      </c>
      <c r="V569" s="1">
        <f>IF($V$62="","",$V$62)</f>
        <v>180</v>
      </c>
      <c r="W569" s="400" t="str" cm="1">
        <f t="array" ref="W5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0" spans="1:23" x14ac:dyDescent="0.25">
      <c r="A570" s="412" t="s">
        <v>254</v>
      </c>
      <c r="B570" s="399"/>
      <c r="C570" s="399" t="s">
        <v>1935</v>
      </c>
      <c r="D570" s="399"/>
      <c r="E570" s="399"/>
      <c r="F570" s="399"/>
      <c r="G570" s="399"/>
      <c r="H570" s="399"/>
      <c r="I570" s="399"/>
      <c r="J570" s="399"/>
      <c r="K570" s="399"/>
      <c r="L570" s="399"/>
      <c r="M570" s="399"/>
      <c r="N570" s="399"/>
      <c r="O570" s="399"/>
      <c r="P570" s="401"/>
      <c r="Q570" s="401" t="str">
        <f>IF($S570="","",IFERROR(_xlfn.XLOOKUP($S570,CostData!$U$22:$U$1000,CostData!$T$22:$T$1000,""),""))</f>
        <v>Gasket</v>
      </c>
      <c r="R570" s="429" t="s">
        <v>1933</v>
      </c>
      <c r="S570" s="418">
        <v>6154</v>
      </c>
      <c r="T570" s="401" t="str" cm="1">
        <f t="array" ref="T570">_xlfn.LET(_xlpm.cd,INDEX($S:$S,ROW()),IF(_xlpm.cd="","",IFERROR(_xlfn.XLOOKUP(_xlpm.cd,CostData!$U$22:$U$1000,CostData!$W$22:$W$1000,""),"")))</f>
        <v>6154 Gasket</v>
      </c>
      <c r="U570" s="401" t="str">
        <f>IF($S570="","",IFERROR(_xlfn.XLOOKUP($S570,CostData!$U$22:$U$1000,CostData!$AA$22:$AA$1000,""),""))</f>
        <v>Ft</v>
      </c>
      <c r="V570" s="401">
        <f>IF(SUM($V$63:$V$64)=0,"",SUM($V$63:$V$64)*2)</f>
        <v>120</v>
      </c>
      <c r="W570" s="413" t="str" cm="1">
        <f t="array" ref="W5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1" spans="1:23" x14ac:dyDescent="0.25">
      <c r="A571" s="419" t="s">
        <v>254</v>
      </c>
      <c r="B571" s="415" t="s">
        <v>1846</v>
      </c>
      <c r="C571" s="415" t="s">
        <v>1935</v>
      </c>
      <c r="D571" s="415" t="s">
        <v>1792</v>
      </c>
      <c r="E571" s="415" t="str" cm="1">
        <f t="array" ref="E571:E580">IFERROR(INDEX(_xlfn._xlws.FILTER(CostData!$P$3:$P$12,CostData!$P$3:$P$12&lt;&gt;""),_xlfn.SEQUENCE(10)),"")</f>
        <v>Default</v>
      </c>
      <c r="F571" s="415" t="str">
        <f>"▼ [Variant]"</f>
        <v>▼ [Variant]</v>
      </c>
      <c r="G571" s="415" t="str">
        <f>"▼ [Fix - Casement]"</f>
        <v>▼ [Fix - Casement]</v>
      </c>
      <c r="H571" s="415" t="str">
        <f>"▼ [Hung Window - Casement]"</f>
        <v>▼ [Hung Window - Casement]</v>
      </c>
      <c r="I571" s="415" t="s">
        <v>1858</v>
      </c>
      <c r="J571" s="415" t="s">
        <v>1859</v>
      </c>
      <c r="K571" s="415" t="s">
        <v>1860</v>
      </c>
      <c r="L571" s="415" t="s">
        <v>1861</v>
      </c>
      <c r="M571" s="420">
        <v>0.54649999999999999</v>
      </c>
      <c r="N571" s="415">
        <v>609.6</v>
      </c>
      <c r="O571" s="415"/>
      <c r="P571" s="409" t="str" cm="1">
        <f t="array" ref="P5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1" s="409" t="str" cm="1">
        <f t="array" ref="Q571">_xlfn.LET(_xlpm.cd,INDEX($S:$S,ROW()),IF(_xlpm.cd="","",IFERROR(_xlfn.XLOOKUP(_xlpm.cd,CostData!$C$22:$C$1000,CostData!$B$22:$B$1000,""),"")))</f>
        <v>Aluminium</v>
      </c>
      <c r="R571" s="428" t="s">
        <v>1812</v>
      </c>
      <c r="S571" s="417" t="s">
        <v>1926</v>
      </c>
      <c r="T571" s="409" t="str" cm="1">
        <f t="array" ref="T571">_xlfn.LET(_xlpm.cd,INDEX($S:$S,ROW()),IF(_xlpm.cd="","",IFERROR(_xlfn.XLOOKUP(_xlpm.cd,CostData!$C$22:$C$1000,CostData!$E$22:$E$1000,""),"")))</f>
        <v>Outer</v>
      </c>
      <c r="U571" s="409" t="s">
        <v>103</v>
      </c>
      <c r="V57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571" s="421" t="str" cm="1">
        <f t="array" ref="W5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2" spans="1:23" x14ac:dyDescent="0.25">
      <c r="A572" s="275" t="s">
        <v>254</v>
      </c>
      <c r="B572" s="370" t="s">
        <v>1848</v>
      </c>
      <c r="C572" s="370" t="s">
        <v>1935</v>
      </c>
      <c r="D572" s="370" t="s">
        <v>1814</v>
      </c>
      <c r="E572" s="370" t="str">
        <v>Z-Louvre Blade - 2"</v>
      </c>
      <c r="G572" s="370" t="s">
        <v>1866</v>
      </c>
      <c r="H572" s="370" t="s">
        <v>1866</v>
      </c>
      <c r="P572" s="1" t="str" cm="1">
        <f t="array" ref="P5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2" s="1" t="str" cm="1">
        <f t="array" ref="Q572">_xlfn.LET(_xlpm.cd,INDEX($S:$S,ROW()),IF(_xlpm.cd="","",IFERROR(_xlfn.XLOOKUP(_xlpm.cd,CostData!$C$22:$C$1000,CostData!$B$22:$B$1000,""),"")))</f>
        <v>Aluminium</v>
      </c>
      <c r="R572" s="16" t="s">
        <v>1849</v>
      </c>
      <c r="S572" s="24" t="s">
        <v>1927</v>
      </c>
      <c r="T572" s="1" t="str" cm="1">
        <f t="array" ref="T572">_xlfn.LET(_xlpm.cd,INDEX($S:$S,ROW()),IF(_xlpm.cd="","",IFERROR(_xlfn.XLOOKUP(_xlpm.cd,CostData!$C$22:$C$1000,CostData!$E$22:$E$1000,""),"")))</f>
        <v>Inner</v>
      </c>
      <c r="U572" s="1" t="s">
        <v>103</v>
      </c>
      <c r="V572" s="1" cm="1">
        <f t="array" ref="V57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572" s="400" t="str" cm="1">
        <f t="array" ref="W5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3" spans="1:23" x14ac:dyDescent="0.25">
      <c r="A573" s="275" t="s">
        <v>254</v>
      </c>
      <c r="B573" s="370" t="s">
        <v>382</v>
      </c>
      <c r="C573" s="370" t="s">
        <v>1935</v>
      </c>
      <c r="D573" s="370" t="s">
        <v>1793</v>
      </c>
      <c r="E573" s="370" t="str">
        <v>Z-Louvre Blade - 5"</v>
      </c>
      <c r="G573" s="370" t="s">
        <v>1867</v>
      </c>
      <c r="H573" s="370" t="s">
        <v>1867</v>
      </c>
      <c r="P573" s="1" t="str" cm="1">
        <f t="array" ref="P5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3" s="1" t="str" cm="1">
        <f t="array" ref="Q573">_xlfn.LET(_xlpm.cd,INDEX($S:$S,ROW()),IF(_xlpm.cd="","",IFERROR(_xlfn.XLOOKUP(_xlpm.cd,CostData!$C$22:$C$1000,CostData!$B$22:$B$1000,""),"")))</f>
        <v>Aluminium</v>
      </c>
      <c r="R573" s="16" t="s">
        <v>1863</v>
      </c>
      <c r="S573" s="24" t="s">
        <v>1928</v>
      </c>
      <c r="T573" s="1" t="str" cm="1">
        <f t="array" ref="T573">_xlfn.LET(_xlpm.cd,INDEX($S:$S,ROW()),IF(_xlpm.cd="","",IFERROR(_xlfn.XLOOKUP(_xlpm.cd,CostData!$C$22:$C$1000,CostData!$E$22:$E$1000,""),"")))</f>
        <v>Mullion</v>
      </c>
      <c r="U573" s="1" t="s">
        <v>103</v>
      </c>
      <c r="V57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573" s="400" t="str" cm="1">
        <f t="array" ref="W5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4" spans="1:23" x14ac:dyDescent="0.25">
      <c r="A574" s="275" t="s">
        <v>254</v>
      </c>
      <c r="B574" s="370" t="s">
        <v>1847</v>
      </c>
      <c r="C574" s="370" t="s">
        <v>1935</v>
      </c>
      <c r="D574" s="370" t="s">
        <v>1815</v>
      </c>
      <c r="E574" s="370" t="str">
        <v/>
      </c>
      <c r="G574" s="370" t="s">
        <v>1868</v>
      </c>
      <c r="H574" s="370" t="s">
        <v>1868</v>
      </c>
      <c r="P574" s="1" t="str" cm="1">
        <f t="array" ref="P5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4" s="1" t="str" cm="1">
        <f t="array" ref="Q574">_xlfn.LET(_xlpm.cd,INDEX($S:$S,ROW()),IF(_xlpm.cd="","",IFERROR(_xlfn.XLOOKUP(_xlpm.cd,CostData!$C$22:$C$1000,CostData!$B$22:$B$1000,""),"")))</f>
        <v>Aluminium</v>
      </c>
      <c r="R574" s="16" t="s">
        <v>1862</v>
      </c>
      <c r="S574" s="24" t="s">
        <v>1928</v>
      </c>
      <c r="T574" s="1" t="str" cm="1">
        <f t="array" ref="T574">_xlfn.LET(_xlpm.cd,INDEX($S:$S,ROW()),IF(_xlpm.cd="","",IFERROR(_xlfn.XLOOKUP(_xlpm.cd,CostData!$C$22:$C$1000,CostData!$E$22:$E$1000,""),"")))</f>
        <v>Mullion</v>
      </c>
      <c r="U574" s="1" t="s">
        <v>103</v>
      </c>
      <c r="V57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74" s="400" t="str" cm="1">
        <f t="array" ref="W5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5" spans="1:23" x14ac:dyDescent="0.25">
      <c r="A575" s="275" t="s">
        <v>254</v>
      </c>
      <c r="C575" s="370" t="s">
        <v>1935</v>
      </c>
      <c r="E575" s="370" t="str">
        <v/>
      </c>
      <c r="G575" s="370" t="s">
        <v>1869</v>
      </c>
      <c r="H575" s="370" t="s">
        <v>1869</v>
      </c>
      <c r="P575" s="1" t="str" cm="1">
        <f t="array" ref="P5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5" s="1" t="str" cm="1">
        <f t="array" ref="Q575">_xlfn.LET(_xlpm.cd,INDEX($S:$S,ROW()),IF(_xlpm.cd="","",IFERROR(_xlfn.XLOOKUP(_xlpm.cd,CostData!$C$22:$C$1000,CostData!$B$22:$B$1000,""),"")))</f>
        <v/>
      </c>
      <c r="T575" s="1" t="str" cm="1">
        <f t="array" ref="T575">_xlfn.LET(_xlpm.cd,INDEX($S:$S,ROW()),IF(_xlpm.cd="","",IFERROR(_xlfn.XLOOKUP(_xlpm.cd,CostData!$C$22:$C$1000,CostData!$E$22:$E$1000,""),"")))</f>
        <v/>
      </c>
      <c r="V575" s="1" t="str" cm="1">
        <f t="array" ref="V575">IFERROR(_xlfn.XLOOKUP(1,(TRIM(CostData!$B$22:$B$1000)="Aluminium")*(TRIM(CostData!$C$22:$C$1000)="CWS")*(TRIM(CostData!$E$22:$E$1000)=TRIM($S575)),_xlfn.SWITCH(TRIM(Enginuity!$A$19),"N/A",CostData!$H$22:$H$1000,"M/B",CostData!$I$22:$I$1000,"P/C",CostData!$J$22:$J$1000,"W/G",CostData!$K$22:$K$1000,""),""),"")</f>
        <v/>
      </c>
      <c r="W575" s="400" t="str" cm="1">
        <f t="array" ref="W5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6" spans="1:23" x14ac:dyDescent="0.25">
      <c r="A576" s="275" t="s">
        <v>254</v>
      </c>
      <c r="C576" s="370" t="s">
        <v>1935</v>
      </c>
      <c r="E576" s="370" t="str">
        <v/>
      </c>
      <c r="G576" s="370" t="s">
        <v>1870</v>
      </c>
      <c r="H576" s="370" t="s">
        <v>1870</v>
      </c>
      <c r="P576" s="1" t="str" cm="1">
        <f t="array" ref="P5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6" s="1" t="str" cm="1">
        <f t="array" ref="Q576">_xlfn.LET(_xlpm.cd,INDEX($S:$S,ROW()),IF(_xlpm.cd="","",IFERROR(_xlfn.XLOOKUP(_xlpm.cd,CostData!$C$22:$C$1000,CostData!$B$22:$B$1000,""),"")))</f>
        <v/>
      </c>
      <c r="R576" s="16" t="str">
        <f>IF(Enginuity!$A$22="","",Enginuity!$A$22&amp;" Fix Window")</f>
        <v>▼ [Lattice] Fix Window</v>
      </c>
      <c r="T576" s="1" t="str" cm="1">
        <f t="array" ref="T576">_xlfn.LET(_xlpm.cd,INDEX($S:$S,ROW()),IF(_xlpm.cd="","",IFERROR(_xlfn.XLOOKUP(_xlpm.cd,CostData!$C$22:$C$1000,CostData!$E$22:$E$1000,""),"")))</f>
        <v/>
      </c>
      <c r="U576" s="1" t="s">
        <v>176</v>
      </c>
      <c r="V576" s="1">
        <v>1</v>
      </c>
      <c r="W576" s="400" t="str">
        <f>IF(Enginuity!$A$22&lt;&gt;"",$W$4,"")</f>
        <v/>
      </c>
    </row>
    <row r="577" spans="1:23" x14ac:dyDescent="0.25">
      <c r="A577" s="275" t="s">
        <v>254</v>
      </c>
      <c r="C577" s="370" t="s">
        <v>1935</v>
      </c>
      <c r="E577" s="370" t="str">
        <v/>
      </c>
      <c r="G577" s="370" t="s">
        <v>1871</v>
      </c>
      <c r="H577" s="370" t="s">
        <v>1871</v>
      </c>
      <c r="P577" s="1" t="str" cm="1">
        <f t="array" ref="P5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7" s="1" t="str" cm="1">
        <f t="array" ref="Q577">_xlfn.LET(_xlpm.cd,INDEX($S:$S,ROW()),IF(_xlpm.cd="","",IFERROR(_xlfn.XLOOKUP(_xlpm.cd,CostData!$C$22:$C$1000,CostData!$B$22:$B$1000,""),"")))</f>
        <v/>
      </c>
      <c r="T577" s="1" t="str" cm="1">
        <f t="array" ref="T577">_xlfn.LET(_xlpm.cd,INDEX($S:$S,ROW()),IF(_xlpm.cd="","",IFERROR(_xlfn.XLOOKUP(_xlpm.cd,CostData!$C$22:$C$1000,CostData!$E$22:$E$1000,""),"")))</f>
        <v/>
      </c>
      <c r="V577" s="1" t="str" cm="1">
        <f t="array" ref="V577">IFERROR(_xlfn.XLOOKUP(1,(TRIM(CostData!$B$22:$B$1000)="Aluminium")*(TRIM(CostData!$C$22:$C$1000)="CWS")*(TRIM(CostData!$E$22:$E$1000)=TRIM($S577)),_xlfn.SWITCH(TRIM(Enginuity!$A$19),"N/A",CostData!$H$22:$H$1000,"M/B",CostData!$I$22:$I$1000,"P/C",CostData!$J$22:$J$1000,"W/G",CostData!$K$22:$K$1000,""),""),"")</f>
        <v/>
      </c>
      <c r="W577" s="400" t="str" cm="1">
        <f t="array" ref="W57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8" spans="1:23" x14ac:dyDescent="0.25">
      <c r="A578" s="275" t="s">
        <v>254</v>
      </c>
      <c r="C578" s="370" t="s">
        <v>1935</v>
      </c>
      <c r="E578" s="370" t="str">
        <v/>
      </c>
      <c r="G578" s="370" t="s">
        <v>1872</v>
      </c>
      <c r="H578" s="370" t="s">
        <v>1872</v>
      </c>
      <c r="P578" s="1" t="str" cm="1">
        <f t="array" ref="P5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8" s="1" t="str" cm="1">
        <f t="array" ref="Q578">_xlfn.LET(_xlpm.cd,INDEX($S:$S,ROW()),IF(_xlpm.cd="","",IFERROR(_xlfn.XLOOKUP(_xlpm.cd,CostData!$C$22:$C$1000,CostData!$B$22:$B$1000,""),"")))</f>
        <v/>
      </c>
      <c r="T578" s="1" t="str" cm="1">
        <f t="array" ref="T578">_xlfn.LET(_xlpm.cd,INDEX($S:$S,ROW()),IF(_xlpm.cd="","",IFERROR(_xlfn.XLOOKUP(_xlpm.cd,CostData!$C$22:$C$1000,CostData!$E$22:$E$1000,""),"")))</f>
        <v/>
      </c>
      <c r="V578" s="1" t="str" cm="1">
        <f t="array" ref="V578">IFERROR(_xlfn.XLOOKUP(1,(TRIM(CostData!$B$22:$B$1000)="Aluminium")*(TRIM(CostData!$C$22:$C$1000)="CWS")*(TRIM(CostData!$E$22:$E$1000)=TRIM($S578)),_xlfn.SWITCH(TRIM(Enginuity!$A$19),"N/A",CostData!$H$22:$H$1000,"M/B",CostData!$I$22:$I$1000,"P/C",CostData!$J$22:$J$1000,"W/G",CostData!$K$22:$K$1000,""),""),"")</f>
        <v/>
      </c>
      <c r="W578" s="400" t="str" cm="1">
        <f t="array" ref="W5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9" spans="1:23" x14ac:dyDescent="0.25">
      <c r="A579" s="275" t="s">
        <v>254</v>
      </c>
      <c r="C579" s="370" t="s">
        <v>1935</v>
      </c>
      <c r="E579" s="370" t="str">
        <v/>
      </c>
      <c r="G579" s="370" t="s">
        <v>1873</v>
      </c>
      <c r="H579" s="370" t="s">
        <v>1873</v>
      </c>
      <c r="P579" s="1" t="str" cm="1">
        <f t="array" ref="P5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9" s="1" t="str" cm="1">
        <f t="array" ref="Q579">_xlfn.LET(_xlpm.cd,INDEX($S:$S,ROW()),IF(_xlpm.cd="","",IFERROR(_xlfn.XLOOKUP(_xlpm.cd,CostData!$C$22:$C$1000,CostData!$B$22:$B$1000,""),"")))</f>
        <v/>
      </c>
      <c r="T579" s="1" t="str" cm="1">
        <f t="array" ref="T579">_xlfn.LET(_xlpm.cd,INDEX($S:$S,ROW()),IF(_xlpm.cd="","",IFERROR(_xlfn.XLOOKUP(_xlpm.cd,CostData!$C$22:$C$1000,CostData!$E$22:$E$1000,""),"")))</f>
        <v/>
      </c>
      <c r="V579" s="1" t="str" cm="1">
        <f t="array" ref="V579">IFERROR(_xlfn.XLOOKUP(1,(TRIM(CostData!$B$22:$B$1000)="Aluminium")*(TRIM(CostData!$C$22:$C$1000)="CWS")*(TRIM(CostData!$E$22:$E$1000)=TRIM($S579)),_xlfn.SWITCH(TRIM(Enginuity!$A$19),"N/A",CostData!$H$22:$H$1000,"M/B",CostData!$I$22:$I$1000,"P/C",CostData!$J$22:$J$1000,"W/G",CostData!$K$22:$K$1000,""),""),"")</f>
        <v/>
      </c>
      <c r="W579" s="400" t="str" cm="1">
        <f t="array" ref="W5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0" spans="1:23" x14ac:dyDescent="0.25">
      <c r="A580" s="275" t="s">
        <v>254</v>
      </c>
      <c r="C580" s="370" t="s">
        <v>1935</v>
      </c>
      <c r="E580" s="370" t="str">
        <v/>
      </c>
      <c r="P580" s="1" t="str" cm="1">
        <f t="array" ref="P5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0" s="1" t="str" cm="1">
        <f t="array" ref="Q580">_xlfn.LET(_xlpm.cd,INDEX($S:$S,ROW()),IF(_xlpm.cd="","",IFERROR(_xlfn.XLOOKUP(_xlpm.cd,CostData!$C$22:$C$1000,CostData!$B$22:$B$1000,""),"")))</f>
        <v/>
      </c>
      <c r="T580" s="1" t="str" cm="1">
        <f t="array" ref="T580">_xlfn.LET(_xlpm.cd,INDEX($S:$S,ROW()),IF(_xlpm.cd="","",IFERROR(_xlfn.XLOOKUP(_xlpm.cd,CostData!$C$22:$C$1000,CostData!$E$22:$E$1000,""),"")))</f>
        <v/>
      </c>
      <c r="V580" s="1" t="str" cm="1">
        <f t="array" ref="V580">IFERROR(_xlfn.XLOOKUP(1,(TRIM(CostData!$B$22:$B$1000)="Aluminium")*(TRIM(CostData!$C$22:$C$1000)="CWS")*(TRIM(CostData!$E$22:$E$1000)=TRIM($S580)),_xlfn.SWITCH(TRIM(Enginuity!$A$19),"N/A",CostData!$H$22:$H$1000,"M/B",CostData!$I$22:$I$1000,"P/C",CostData!$J$22:$J$1000,"W/G",CostData!$K$22:$K$1000,""),""),"")</f>
        <v/>
      </c>
      <c r="W580" s="400" t="str" cm="1">
        <f t="array" ref="W5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1" spans="1:23" x14ac:dyDescent="0.25">
      <c r="A581" s="275" t="s">
        <v>254</v>
      </c>
      <c r="C581" s="370" t="s">
        <v>1935</v>
      </c>
      <c r="P581" s="1" t="str" cm="1">
        <f t="array" ref="P5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1" s="1" t="str" cm="1">
        <f t="array" ref="Q581">_xlfn.LET(_xlpm.cd,INDEX($S:$S,ROW()),IF(_xlpm.cd="","",IFERROR(_xlfn.XLOOKUP(_xlpm.cd,CostData!$C$22:$C$1000,CostData!$B$22:$B$1000,""),"")))</f>
        <v/>
      </c>
      <c r="T581" s="1" t="str" cm="1">
        <f t="array" ref="T581">_xlfn.LET(_xlpm.cd,INDEX($S:$S,ROW()),IF(_xlpm.cd="","",IFERROR(_xlfn.XLOOKUP(_xlpm.cd,CostData!$C$22:$C$1000,CostData!$E$22:$E$1000,""),"")))</f>
        <v/>
      </c>
      <c r="V581" s="1" t="str" cm="1">
        <f t="array" ref="V581">IFERROR(_xlfn.XLOOKUP(1,(TRIM(CostData!$B$22:$B$1000)="Aluminium")*(TRIM(CostData!$C$22:$C$1000)="CWS")*(TRIM(CostData!$E$22:$E$1000)=TRIM($S581)),_xlfn.SWITCH(TRIM(Enginuity!$A$19),"N/A",CostData!$H$22:$H$1000,"M/B",CostData!$I$22:$I$1000,"P/C",CostData!$J$22:$J$1000,"W/G",CostData!$K$22:$K$1000,""),""),"")</f>
        <v/>
      </c>
      <c r="W581" s="400" t="str" cm="1">
        <f t="array" ref="W5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2" spans="1:23" x14ac:dyDescent="0.25">
      <c r="A582" s="275" t="s">
        <v>254</v>
      </c>
      <c r="C582" s="370" t="s">
        <v>1935</v>
      </c>
      <c r="P582" s="1" t="str" cm="1">
        <f t="array" ref="P5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2" s="1" t="str" cm="1">
        <f t="array" ref="Q582">_xlfn.LET(_xlpm.cd,INDEX($S:$S,ROW()),IF(_xlpm.cd="","",IFERROR(_xlfn.XLOOKUP(_xlpm.cd,CostData!$C$22:$C$1000,CostData!$B$22:$B$1000,""),"")))</f>
        <v/>
      </c>
      <c r="T582" s="1" t="str" cm="1">
        <f t="array" ref="T582">_xlfn.LET(_xlpm.cd,INDEX($S:$S,ROW()),IF(_xlpm.cd="","",IFERROR(_xlfn.XLOOKUP(_xlpm.cd,CostData!$C$22:$C$1000,CostData!$E$22:$E$1000,""),"")))</f>
        <v/>
      </c>
      <c r="V582" s="1" t="str" cm="1">
        <f t="array" ref="V582">IFERROR(_xlfn.XLOOKUP(1,(TRIM(CostData!$B$22:$B$1000)="Aluminium")*(TRIM(CostData!$C$22:$C$1000)="CWS")*(TRIM(CostData!$E$22:$E$1000)=TRIM($S582)),_xlfn.SWITCH(TRIM(Enginuity!$A$19),"N/A",CostData!$H$22:$H$1000,"M/B",CostData!$I$22:$I$1000,"P/C",CostData!$J$22:$J$1000,"W/G",CostData!$K$22:$K$1000,""),""),"")</f>
        <v/>
      </c>
      <c r="W582" s="400" t="str" cm="1">
        <f t="array" ref="W5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3" spans="1:23" x14ac:dyDescent="0.25">
      <c r="A583" s="275" t="s">
        <v>254</v>
      </c>
      <c r="C583" s="370" t="s">
        <v>1935</v>
      </c>
      <c r="P583" s="1" t="str" cm="1">
        <f t="array" ref="P5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3" s="1" t="str" cm="1">
        <f t="array" ref="Q583">_xlfn.LET(_xlpm.cd,INDEX($S:$S,ROW()),IF(_xlpm.cd="","",IFERROR(_xlfn.XLOOKUP(_xlpm.cd,CostData!$C$22:$C$1000,CostData!$B$22:$B$1000,""),"")))</f>
        <v/>
      </c>
      <c r="T583" s="1" t="str" cm="1">
        <f t="array" ref="T583">_xlfn.LET(_xlpm.cd,INDEX($S:$S,ROW()),IF(_xlpm.cd="","",IFERROR(_xlfn.XLOOKUP(_xlpm.cd,CostData!$C$22:$C$1000,CostData!$E$22:$E$1000,""),"")))</f>
        <v/>
      </c>
      <c r="V583" s="1" t="str" cm="1">
        <f t="array" ref="V583">IFERROR(_xlfn.XLOOKUP(1,(TRIM(CostData!$B$22:$B$1000)="Aluminium")*(TRIM(CostData!$C$22:$C$1000)="CWS")*(TRIM(CostData!$E$22:$E$1000)=TRIM($S583)),_xlfn.SWITCH(TRIM(Enginuity!$A$19),"N/A",CostData!$H$22:$H$1000,"M/B",CostData!$I$22:$I$1000,"P/C",CostData!$J$22:$J$1000,"W/G",CostData!$K$22:$K$1000,""),""),"")</f>
        <v/>
      </c>
      <c r="W583" s="400" t="str" cm="1">
        <f t="array" ref="W5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4" spans="1:23" x14ac:dyDescent="0.25">
      <c r="A584" s="275" t="s">
        <v>254</v>
      </c>
      <c r="C584" s="370" t="s">
        <v>1935</v>
      </c>
      <c r="P584" s="1" t="str" cm="1">
        <f t="array" ref="P5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4" s="1" t="str" cm="1">
        <f t="array" ref="Q584">_xlfn.LET(_xlpm.cd,INDEX($S:$S,ROW()),IF(_xlpm.cd="","",IFERROR(_xlfn.XLOOKUP(_xlpm.cd,CostData!$C$22:$C$1000,CostData!$B$22:$B$1000,""),"")))</f>
        <v/>
      </c>
      <c r="T584" s="1" t="str" cm="1">
        <f t="array" ref="T584">_xlfn.LET(_xlpm.cd,INDEX($S:$S,ROW()),IF(_xlpm.cd="","",IFERROR(_xlfn.XLOOKUP(_xlpm.cd,CostData!$C$22:$C$1000,CostData!$E$22:$E$1000,""),"")))</f>
        <v/>
      </c>
      <c r="V584" s="1" t="str" cm="1">
        <f t="array" ref="V584">IFERROR(_xlfn.XLOOKUP(1,(TRIM(CostData!$B$22:$B$1000)="Aluminium")*(TRIM(CostData!$C$22:$C$1000)="CWS")*(TRIM(CostData!$E$22:$E$1000)=TRIM($S584)),_xlfn.SWITCH(TRIM(Enginuity!$A$19),"N/A",CostData!$H$22:$H$1000,"M/B",CostData!$I$22:$I$1000,"P/C",CostData!$J$22:$J$1000,"W/G",CostData!$K$22:$K$1000,""),""),"")</f>
        <v/>
      </c>
      <c r="W584" s="400" t="str" cm="1">
        <f t="array" ref="W5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5" spans="1:23" x14ac:dyDescent="0.25">
      <c r="A585" s="275" t="s">
        <v>254</v>
      </c>
      <c r="C585" s="370" t="s">
        <v>1935</v>
      </c>
      <c r="P585" s="1" t="str" cm="1">
        <f t="array" ref="P5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5" s="1" t="str" cm="1">
        <f t="array" ref="Q585">_xlfn.LET(_xlpm.cd,INDEX($S:$S,ROW()),IF(_xlpm.cd="","",IFERROR(_xlfn.XLOOKUP(_xlpm.cd,CostData!$C$22:$C$1000,CostData!$B$22:$B$1000,""),"")))</f>
        <v/>
      </c>
      <c r="T585" s="1" t="str" cm="1">
        <f t="array" ref="T585">_xlfn.LET(_xlpm.cd,INDEX($S:$S,ROW()),IF(_xlpm.cd="","",IFERROR(_xlfn.XLOOKUP(_xlpm.cd,CostData!$C$22:$C$1000,CostData!$E$22:$E$1000,""),"")))</f>
        <v/>
      </c>
      <c r="V585" s="1" t="str" cm="1">
        <f t="array" ref="V585">IFERROR(_xlfn.XLOOKUP(1,(TRIM(CostData!$B$22:$B$1000)="Aluminium")*(TRIM(CostData!$C$22:$C$1000)="CWS")*(TRIM(CostData!$E$22:$E$1000)=TRIM($S585)),_xlfn.SWITCH(TRIM(Enginuity!$A$19),"N/A",CostData!$H$22:$H$1000,"M/B",CostData!$I$22:$I$1000,"P/C",CostData!$J$22:$J$1000,"W/G",CostData!$K$22:$K$1000,""),""),"")</f>
        <v/>
      </c>
      <c r="W585" s="400" t="str" cm="1">
        <f t="array" ref="W5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6" spans="1:23" x14ac:dyDescent="0.25">
      <c r="A586" s="275" t="s">
        <v>254</v>
      </c>
      <c r="C586" s="370" t="s">
        <v>1935</v>
      </c>
      <c r="P586" s="1" t="str" cm="1">
        <f t="array" ref="P5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6" s="1" t="str" cm="1">
        <f t="array" ref="Q586">_xlfn.LET(_xlpm.cd,INDEX($S:$S,ROW()),IF(_xlpm.cd="","",IFERROR(_xlfn.XLOOKUP(_xlpm.cd,CostData!$C$22:$C$1000,CostData!$B$22:$B$1000,""),"")))</f>
        <v/>
      </c>
      <c r="T586" s="1" t="str" cm="1">
        <f t="array" ref="T586">_xlfn.LET(_xlpm.cd,INDEX($S:$S,ROW()),IF(_xlpm.cd="","",IFERROR(_xlfn.XLOOKUP(_xlpm.cd,CostData!$C$22:$C$1000,CostData!$E$22:$E$1000,""),"")))</f>
        <v/>
      </c>
      <c r="V586" s="1" t="str" cm="1">
        <f t="array" ref="V586">IFERROR(_xlfn.XLOOKUP(1,(TRIM(CostData!$B$22:$B$1000)="Aluminium")*(TRIM(CostData!$C$22:$C$1000)="CWS")*(TRIM(CostData!$E$22:$E$1000)=TRIM($S586)),_xlfn.SWITCH(TRIM(Enginuity!$A$19),"N/A",CostData!$H$22:$H$1000,"M/B",CostData!$I$22:$I$1000,"P/C",CostData!$J$22:$J$1000,"W/G",CostData!$K$22:$K$1000,""),""),"")</f>
        <v/>
      </c>
      <c r="W586" s="400" t="str" cm="1">
        <f t="array" ref="W5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7" spans="1:23" x14ac:dyDescent="0.25">
      <c r="A587" s="275" t="s">
        <v>254</v>
      </c>
      <c r="C587" s="370" t="s">
        <v>1935</v>
      </c>
      <c r="P587" s="1" t="str" cm="1">
        <f t="array" ref="P5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7" s="1" t="s">
        <v>1833</v>
      </c>
      <c r="R587" s="16" t="str">
        <f>IF($T587="","","⬒ "&amp;$T587)</f>
        <v>⬒ Z-Louvre Blade - 5"</v>
      </c>
      <c r="T587" s="1" t="str">
        <f>IF(Enginuity!$A$20="","",Enginuity!$A$20)</f>
        <v>Z-Louvre Blade - 5"</v>
      </c>
      <c r="U587" s="1" t="s">
        <v>121</v>
      </c>
      <c r="V587" s="1">
        <f>IF(Enginuity!$B$9="","",Enginuity!$B$9)</f>
        <v>200</v>
      </c>
      <c r="W587" s="400">
        <f>IFERROR(INDEX(CostData!$Q$3:$Q$12,MATCH(TRIM(Enginuity!$A$20),CostData!$P$3:$P$12,0)),"")</f>
        <v>31.774000000000001</v>
      </c>
    </row>
    <row r="588" spans="1:23" x14ac:dyDescent="0.25">
      <c r="A588" s="275" t="s">
        <v>254</v>
      </c>
      <c r="C588" s="370" t="s">
        <v>1935</v>
      </c>
      <c r="P588" s="1" t="str" cm="1">
        <f t="array" ref="P5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8" s="1" t="str" cm="1">
        <f t="array" ref="V588">IFERROR(_xlfn.XLOOKUP(1,(TRIM(CostData!$B$22:$B$1000)="Aluminium")*(TRIM(CostData!$C$22:$C$1000)="CWS")*(TRIM(CostData!$E$22:$E$1000)=TRIM($S588)),_xlfn.SWITCH(TRIM(Enginuity!$A$19),"N/A",CostData!$H$22:$H$1000,"M/B",CostData!$I$22:$I$1000,"P/C",CostData!$J$22:$J$1000,"W/G",CostData!$K$22:$K$1000,""),""),"")</f>
        <v/>
      </c>
      <c r="W588" s="400" t="str" cm="1">
        <f t="array" ref="W588">IF(OR(TRIM(CalcEngine!$A588)&lt;&gt;TRIM(Enginuity!$A$1),TRIM(CalcEngine!$C588)&lt;&gt;TRIM(Enginuity!$A$18),CalcEngine!$V588="",CalcEngine!$V588=0),"",IFERROR(_xlfn.XLOOKUP(1,(TRIM(CostData!$B$22:$B$1000)="Aluminium")*(TRIM(CostData!$C$22:$C$1000)="CWS")*(TRIM(CostData!$E$22:$E$1000)=TRIM(CalcEngine!$T588)),_xlfn.SWITCH(TRIM(Enginuity!$A$19),"N/A",CostData!$H$22:$H$1000,"M/B",CostData!$I$22:$I$1000,"P/C",CostData!$J$22:$J$1000,"W/G",CostData!$K$22:$K$1000,""),""),""))</f>
        <v/>
      </c>
    </row>
    <row r="589" spans="1:23" x14ac:dyDescent="0.25">
      <c r="A589" s="275" t="s">
        <v>254</v>
      </c>
      <c r="C589" s="370" t="s">
        <v>1935</v>
      </c>
      <c r="P589" s="1" t="str" cm="1">
        <f t="array" ref="P5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9" s="1" t="str" cm="1">
        <f t="array" ref="V589">IFERROR(_xlfn.XLOOKUP(1,(TRIM(CostData!$B$22:$B$1000)="Aluminium")*(TRIM(CostData!$C$22:$C$1000)="CWS")*(TRIM(CostData!$E$22:$E$1000)=TRIM($S589)),_xlfn.SWITCH(TRIM(Enginuity!$A$19),"N/A",CostData!$H$22:$H$1000,"M/B",CostData!$I$22:$I$1000,"P/C",CostData!$J$22:$J$1000,"W/G",CostData!$K$22:$K$1000,""),""),"")</f>
        <v/>
      </c>
      <c r="W589" s="400" t="str" cm="1">
        <f t="array" ref="W589">IF(OR(TRIM(CalcEngine!$A589)&lt;&gt;TRIM(Enginuity!$A$1),TRIM(CalcEngine!$C589)&lt;&gt;TRIM(Enginuity!$A$18),CalcEngine!$V589="",CalcEngine!$V589=0),"",IFERROR(_xlfn.XLOOKUP(1,(TRIM(CostData!$B$22:$B$1000)="Aluminium")*(TRIM(CostData!$C$22:$C$1000)="CWS")*(TRIM(CostData!$E$22:$E$1000)=TRIM(CalcEngine!$T589)),_xlfn.SWITCH(TRIM(Enginuity!$A$19),"N/A",CostData!$H$22:$H$1000,"M/B",CostData!$I$22:$I$1000,"P/C",CostData!$J$22:$J$1000,"W/G",CostData!$K$22:$K$1000,""),""),""))</f>
        <v/>
      </c>
    </row>
    <row r="590" spans="1:23" x14ac:dyDescent="0.25">
      <c r="A590" s="275" t="s">
        <v>254</v>
      </c>
      <c r="C590" s="370" t="s">
        <v>1935</v>
      </c>
      <c r="P590" s="1" t="str" cm="1">
        <f t="array" ref="P5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0" s="1" t="str" cm="1">
        <f t="array" ref="V590">IFERROR(_xlfn.XLOOKUP(1,(TRIM(CostData!$B$22:$B$1000)="Aluminium")*(TRIM(CostData!$C$22:$C$1000)="CWS")*(TRIM(CostData!$E$22:$E$1000)=TRIM($S590)),_xlfn.SWITCH(TRIM(Enginuity!$A$19),"N/A",CostData!$H$22:$H$1000,"M/B",CostData!$I$22:$I$1000,"P/C",CostData!$J$22:$J$1000,"W/G",CostData!$K$22:$K$1000,""),""),"")</f>
        <v/>
      </c>
      <c r="W590" s="400" t="str" cm="1">
        <f t="array" ref="W590">IF(OR(TRIM(CalcEngine!$A590)&lt;&gt;TRIM(Enginuity!$A$1),TRIM(CalcEngine!$C590)&lt;&gt;TRIM(Enginuity!$A$18),CalcEngine!$V590="",CalcEngine!$V590=0),"",IFERROR(_xlfn.XLOOKUP(1,(TRIM(CostData!$B$22:$B$1000)="Aluminium")*(TRIM(CostData!$C$22:$C$1000)="CWS")*(TRIM(CostData!$E$22:$E$1000)=TRIM(CalcEngine!$T590)),_xlfn.SWITCH(TRIM(Enginuity!$A$19),"N/A",CostData!$H$22:$H$1000,"M/B",CostData!$I$22:$I$1000,"P/C",CostData!$J$22:$J$1000,"W/G",CostData!$K$22:$K$1000,""),""),""))</f>
        <v/>
      </c>
    </row>
    <row r="591" spans="1:23" x14ac:dyDescent="0.25">
      <c r="A591" s="275" t="s">
        <v>254</v>
      </c>
      <c r="C591" s="370" t="s">
        <v>1935</v>
      </c>
      <c r="P591" s="1" t="str" cm="1">
        <f t="array" ref="P5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1" s="1" t="str" cm="1">
        <f t="array" ref="V591">IFERROR(_xlfn.XLOOKUP(1,(TRIM(CostData!$B$22:$B$1000)="Aluminium")*(TRIM(CostData!$C$22:$C$1000)="CWS")*(TRIM(CostData!$E$22:$E$1000)=TRIM($S591)),_xlfn.SWITCH(TRIM(Enginuity!$A$19),"N/A",CostData!$H$22:$H$1000,"M/B",CostData!$I$22:$I$1000,"P/C",CostData!$J$22:$J$1000,"W/G",CostData!$K$22:$K$1000,""),""),"")</f>
        <v/>
      </c>
      <c r="W591" s="400" t="str" cm="1">
        <f t="array" ref="W591">IF(OR(TRIM(CalcEngine!$A591)&lt;&gt;TRIM(Enginuity!$A$1),TRIM(CalcEngine!$C591)&lt;&gt;TRIM(Enginuity!$A$18),CalcEngine!$V591="",CalcEngine!$V591=0),"",IFERROR(_xlfn.XLOOKUP(1,(TRIM(CostData!$B$22:$B$1000)="Aluminium")*(TRIM(CostData!$C$22:$C$1000)="CWS")*(TRIM(CostData!$E$22:$E$1000)=TRIM(CalcEngine!$T591)),_xlfn.SWITCH(TRIM(Enginuity!$A$19),"N/A",CostData!$H$22:$H$1000,"M/B",CostData!$I$22:$I$1000,"P/C",CostData!$J$22:$J$1000,"W/G",CostData!$K$22:$K$1000,""),""),""))</f>
        <v/>
      </c>
    </row>
    <row r="592" spans="1:23" x14ac:dyDescent="0.25">
      <c r="A592" s="275" t="s">
        <v>254</v>
      </c>
      <c r="C592" s="370" t="s">
        <v>1935</v>
      </c>
      <c r="P592" s="1" t="str" cm="1">
        <f t="array" ref="P5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92" s="400"/>
    </row>
    <row r="593" spans="1:23" x14ac:dyDescent="0.25">
      <c r="A593" s="275" t="s">
        <v>254</v>
      </c>
      <c r="C593" s="370" t="s">
        <v>1935</v>
      </c>
      <c r="P593" s="1" t="str" cm="1">
        <f t="array" ref="P5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3" s="1" t="str">
        <f>IF($S593="","",IFERROR(_xlfn.XLOOKUP($S593,CostData!$U$22:$U$1000,CostData!$T$22:$T$1000,""),""))</f>
        <v>Hinge</v>
      </c>
      <c r="R593" s="16" t="str">
        <f>IF($S593="","",$T593)</f>
        <v>Hung Friction Stay</v>
      </c>
      <c r="S593" s="24" t="s">
        <v>1880</v>
      </c>
      <c r="T593" s="1" t="str" cm="1">
        <f t="array" ref="T593">_xlfn.LET(_xlpm.cd,INDEX($S:$S,ROW()),IF(_xlpm.cd="","",IFERROR(_xlfn.XLOOKUP(_xlpm.cd,CostData!$U$22:$U$1000,CostData!$W$22:$W$1000,""),"")))</f>
        <v>Hung Friction Stay</v>
      </c>
      <c r="U593" s="1" t="str">
        <f>IF($S593="","",IFERROR(_xlfn.XLOOKUP($S593,CostData!$U$22:$U$1000,CostData!$AA$22:$AA$1000,""),""))</f>
        <v>Pair</v>
      </c>
      <c r="V593" s="1" t="str" cm="1">
        <f t="array" ref="V59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93" s="400" t="str" cm="1">
        <f t="array" ref="W5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4" spans="1:23" x14ac:dyDescent="0.25">
      <c r="A594" s="275" t="s">
        <v>254</v>
      </c>
      <c r="C594" s="370" t="s">
        <v>1935</v>
      </c>
      <c r="P594" s="1" t="str" cm="1">
        <f t="array" ref="P5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4" s="1" t="str">
        <f>IF($S594="","",IFERROR(_xlfn.XLOOKUP($S594,CostData!$U$22:$U$1000,CostData!$T$22:$T$1000,""),""))</f>
        <v>Hinge</v>
      </c>
      <c r="R594" s="16" t="str">
        <f>IF($S594="","",$T594)</f>
        <v>Casement Friction Stay</v>
      </c>
      <c r="S594" s="24" t="s">
        <v>1879</v>
      </c>
      <c r="T594" s="1" t="str" cm="1">
        <f t="array" ref="T594">_xlfn.LET(_xlpm.cd,INDEX($S:$S,ROW()),IF(_xlpm.cd="","",IFERROR(_xlfn.XLOOKUP(_xlpm.cd,CostData!$U$22:$U$1000,CostData!$W$22:$W$1000,""),"")))</f>
        <v>Casement Friction Stay</v>
      </c>
      <c r="U594" s="1" t="str">
        <f>IF($S594="","",IFERROR(_xlfn.XLOOKUP($S594,CostData!$U$22:$U$1000,CostData!$AA$22:$AA$1000,""),""))</f>
        <v>Pair</v>
      </c>
      <c r="V594" s="1">
        <f>IF(Enginuity!$B$13&gt;0,Enginuity!$B$13,"")</f>
        <v>7</v>
      </c>
      <c r="W594" s="400" t="str" cm="1">
        <f t="array" ref="W5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5" spans="1:23" x14ac:dyDescent="0.25">
      <c r="A595" s="275" t="s">
        <v>254</v>
      </c>
      <c r="C595" s="370" t="s">
        <v>1935</v>
      </c>
      <c r="P595" s="1" t="str" cm="1">
        <f t="array" ref="P5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5" s="1" t="str">
        <f>IF($S595="","",IFERROR(_xlfn.XLOOKUP($S595,CostData!$U$22:$U$1000,CostData!$T$22:$T$1000,""),""))</f>
        <v>Handle</v>
      </c>
      <c r="R595" s="16" t="str">
        <f>IF($S595="","",$T595)</f>
        <v>Casement Handle</v>
      </c>
      <c r="S595" s="24" t="s">
        <v>113</v>
      </c>
      <c r="T595" s="1" t="str" cm="1">
        <f t="array" ref="T595">_xlfn.LET(_xlpm.cd,INDEX($S:$S,ROW()),IF(_xlpm.cd="","",IFERROR(_xlfn.XLOOKUP(_xlpm.cd,CostData!$U$22:$U$1000,CostData!$W$22:$W$1000,""),"")))</f>
        <v>Casement Handle</v>
      </c>
      <c r="U595" s="1" t="str">
        <f>IF($S595="","",IFERROR(_xlfn.XLOOKUP($S595,CostData!$U$22:$U$1000,CostData!$AA$22:$AA$1000,""),""))</f>
        <v>Pcs</v>
      </c>
      <c r="V595" s="1" cm="1">
        <f t="array" ref="V59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595" s="400" t="str" cm="1">
        <f t="array" ref="W5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6" spans="1:23" x14ac:dyDescent="0.25">
      <c r="A596" s="275" t="s">
        <v>254</v>
      </c>
      <c r="C596" s="370" t="s">
        <v>1935</v>
      </c>
      <c r="P596" s="1" t="str" cm="1">
        <f t="array" ref="P5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6" s="1" t="str">
        <f>IF($S596="","",IFERROR(_xlfn.XLOOKUP($S596,CostData!$U$22:$U$1000,CostData!$T$22:$T$1000,""),""))</f>
        <v>Black Tape</v>
      </c>
      <c r="R596" s="16" t="str">
        <f>IF($S596="","",$T596)</f>
        <v>2.5" x 2 Black Tape</v>
      </c>
      <c r="S596" s="24" t="s">
        <v>1898</v>
      </c>
      <c r="T596" s="1" t="str" cm="1">
        <f t="array" ref="T596">_xlfn.LET(_xlpm.cd,INDEX($S:$S,ROW()),IF(_xlpm.cd="","",IFERROR(_xlfn.XLOOKUP(_xlpm.cd,CostData!$U$22:$U$1000,CostData!$W$22:$W$1000,""),"")))</f>
        <v>2.5" x 2 Black Tape</v>
      </c>
      <c r="U596" s="1" t="str">
        <f>IF($S596="","",IFERROR(_xlfn.XLOOKUP($S596,CostData!$U$22:$U$1000,CostData!$AA$22:$AA$1000,""),""))</f>
        <v>Ft</v>
      </c>
      <c r="V596" s="1">
        <f>IF(SUM($V$61:$V$64)=0,"",SUM($V$61:$V$64))</f>
        <v>440</v>
      </c>
      <c r="W596" s="400" t="str" cm="1">
        <f t="array" ref="W5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7" spans="1:23" x14ac:dyDescent="0.25">
      <c r="A597" s="275" t="s">
        <v>254</v>
      </c>
      <c r="C597" s="370" t="s">
        <v>1935</v>
      </c>
      <c r="P597" s="1" t="str" cm="1">
        <f t="array" ref="P5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7" s="1" t="str">
        <f>IF($S597="","",IFERROR(_xlfn.XLOOKUP($S597,CostData!$U$22:$U$1000,CostData!$T$22:$T$1000,""),""))</f>
        <v>Gasket</v>
      </c>
      <c r="R597" s="16" t="s">
        <v>1931</v>
      </c>
      <c r="S597" s="24" t="s">
        <v>1912</v>
      </c>
      <c r="T597" s="1" t="str" cm="1">
        <f t="array" ref="T597">_xlfn.LET(_xlpm.cd,INDEX($S:$S,ROW()),IF(_xlpm.cd="","",IFERROR(_xlfn.XLOOKUP(_xlpm.cd,CostData!$U$22:$U$1000,CostData!$W$22:$W$1000,""),"")))</f>
        <v>F18 Gasket</v>
      </c>
      <c r="U597" s="1" t="str">
        <f>IF($S597="","",IFERROR(_xlfn.XLOOKUP($S597,CostData!$U$22:$U$1000,CostData!$AA$22:$AA$1000,""),""))</f>
        <v>Ft</v>
      </c>
      <c r="V597" s="1">
        <f>IF($V$61="","",$V$61)</f>
        <v>200</v>
      </c>
      <c r="W597" s="400" t="str" cm="1">
        <f t="array" ref="W5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8" spans="1:23" x14ac:dyDescent="0.25">
      <c r="A598" s="275" t="s">
        <v>254</v>
      </c>
      <c r="C598" s="370" t="s">
        <v>1935</v>
      </c>
      <c r="P598" s="1" t="str" cm="1">
        <f t="array" ref="P5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8" s="1" t="str">
        <f>IF($S598="","",IFERROR(_xlfn.XLOOKUP($S598,CostData!$U$22:$U$1000,CostData!$T$22:$T$1000,""),""))</f>
        <v>Gasket</v>
      </c>
      <c r="R598" s="16" t="s">
        <v>1932</v>
      </c>
      <c r="S598" s="24" t="s">
        <v>1916</v>
      </c>
      <c r="T598" s="1" t="str" cm="1">
        <f t="array" ref="T598">_xlfn.LET(_xlpm.cd,INDEX($S:$S,ROW()),IF(_xlpm.cd="","",IFERROR(_xlfn.XLOOKUP(_xlpm.cd,CostData!$U$22:$U$1000,CostData!$W$22:$W$1000,""),"")))</f>
        <v>F16S Gasket</v>
      </c>
      <c r="U598" s="1" t="str">
        <f>IF($S598="","",IFERROR(_xlfn.XLOOKUP($S598,CostData!$U$22:$U$1000,CostData!$AA$22:$AA$1000,""),""))</f>
        <v>Ft</v>
      </c>
      <c r="V598" s="1">
        <f>IF($V$62="","",$V$62)</f>
        <v>180</v>
      </c>
      <c r="W598" s="400" t="str" cm="1">
        <f t="array" ref="W5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9" spans="1:23" x14ac:dyDescent="0.25">
      <c r="A599" s="275" t="s">
        <v>254</v>
      </c>
      <c r="C599" s="370" t="s">
        <v>1935</v>
      </c>
      <c r="P599" s="1" t="str" cm="1">
        <f t="array" ref="P5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9" s="1" t="str">
        <f>IF($S599="","",IFERROR(_xlfn.XLOOKUP($S599,CostData!$U$22:$U$1000,CostData!$T$22:$T$1000,""),""))</f>
        <v>Gasket</v>
      </c>
      <c r="R599" s="16" t="s">
        <v>1930</v>
      </c>
      <c r="S599" s="24">
        <v>6154</v>
      </c>
      <c r="T599" s="1" t="str" cm="1">
        <f t="array" ref="T599">_xlfn.LET(_xlpm.cd,INDEX($S:$S,ROW()),IF(_xlpm.cd="","",IFERROR(_xlfn.XLOOKUP(_xlpm.cd,CostData!$U$22:$U$1000,CostData!$W$22:$W$1000,""),"")))</f>
        <v>6154 Gasket</v>
      </c>
      <c r="U599" s="1" t="str">
        <f>IF($S599="","",IFERROR(_xlfn.XLOOKUP($S599,CostData!$U$22:$U$1000,CostData!$AA$22:$AA$1000,""),""))</f>
        <v>Ft</v>
      </c>
      <c r="V599" s="1">
        <f>IF($V$62="","",$V$62)</f>
        <v>180</v>
      </c>
      <c r="W599" s="400" t="str" cm="1">
        <f t="array" ref="W5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0" spans="1:23" x14ac:dyDescent="0.25">
      <c r="A600" s="412" t="s">
        <v>254</v>
      </c>
      <c r="B600" s="399"/>
      <c r="C600" s="399" t="s">
        <v>1935</v>
      </c>
      <c r="D600" s="399"/>
      <c r="E600" s="399"/>
      <c r="F600" s="399"/>
      <c r="G600" s="399"/>
      <c r="H600" s="399"/>
      <c r="I600" s="399"/>
      <c r="J600" s="399"/>
      <c r="K600" s="399"/>
      <c r="L600" s="399"/>
      <c r="M600" s="399"/>
      <c r="N600" s="399"/>
      <c r="O600" s="399"/>
      <c r="P600" s="401"/>
      <c r="Q600" s="401" t="str">
        <f>IF($S600="","",IFERROR(_xlfn.XLOOKUP($S600,CostData!$U$22:$U$1000,CostData!$T$22:$T$1000,""),""))</f>
        <v>Gasket</v>
      </c>
      <c r="R600" s="429" t="s">
        <v>1933</v>
      </c>
      <c r="S600" s="418">
        <v>6154</v>
      </c>
      <c r="T600" s="401" t="str" cm="1">
        <f t="array" ref="T600">_xlfn.LET(_xlpm.cd,INDEX($S:$S,ROW()),IF(_xlpm.cd="","",IFERROR(_xlfn.XLOOKUP(_xlpm.cd,CostData!$U$22:$U$1000,CostData!$W$22:$W$1000,""),"")))</f>
        <v>6154 Gasket</v>
      </c>
      <c r="U600" s="401" t="str">
        <f>IF($S600="","",IFERROR(_xlfn.XLOOKUP($S600,CostData!$U$22:$U$1000,CostData!$AA$22:$AA$1000,""),""))</f>
        <v>Ft</v>
      </c>
      <c r="V600" s="401">
        <f>IF(SUM($V$63:$V$64)=0,"",SUM($V$63:$V$64)*2)</f>
        <v>120</v>
      </c>
      <c r="W600" s="413" t="str" cm="1">
        <f t="array" ref="W6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1" spans="1:23" x14ac:dyDescent="0.25">
      <c r="A601" s="419" t="s">
        <v>254</v>
      </c>
      <c r="B601" s="415" t="s">
        <v>1846</v>
      </c>
      <c r="C601" s="415" t="s">
        <v>1935</v>
      </c>
      <c r="D601" s="415" t="s">
        <v>1792</v>
      </c>
      <c r="E601" s="415" t="str" cm="1">
        <f t="array" ref="E601:E610">IFERROR(INDEX(_xlfn._xlws.FILTER(CostData!$P$3:$P$12,CostData!$P$3:$P$12&lt;&gt;""),_xlfn.SEQUENCE(10)),"")</f>
        <v>Default</v>
      </c>
      <c r="F601" s="415" t="str">
        <f>"▼ [Variant]"</f>
        <v>▼ [Variant]</v>
      </c>
      <c r="G601" s="415" t="str">
        <f>"▼ [Fix - Casement]"</f>
        <v>▼ [Fix - Casement]</v>
      </c>
      <c r="H601" s="415" t="str">
        <f>"▼ [Hung Window - Casement]"</f>
        <v>▼ [Hung Window - Casement]</v>
      </c>
      <c r="I601" s="415" t="s">
        <v>1858</v>
      </c>
      <c r="J601" s="415" t="s">
        <v>1859</v>
      </c>
      <c r="K601" s="415" t="s">
        <v>1860</v>
      </c>
      <c r="L601" s="415" t="s">
        <v>1861</v>
      </c>
      <c r="M601" s="420">
        <v>0.54649999999999999</v>
      </c>
      <c r="N601" s="415">
        <v>609.6</v>
      </c>
      <c r="O601" s="415"/>
      <c r="P601" s="409" t="str" cm="1">
        <f t="array" ref="P6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1" s="409" t="str" cm="1">
        <f t="array" ref="Q601">_xlfn.LET(_xlpm.cd,INDEX($S:$S,ROW()),IF(_xlpm.cd="","",IFERROR(_xlfn.XLOOKUP(_xlpm.cd,CostData!$C$22:$C$1000,CostData!$B$22:$B$1000,""),"")))</f>
        <v>Aluminium</v>
      </c>
      <c r="R601" s="428" t="s">
        <v>1812</v>
      </c>
      <c r="S601" s="417" t="s">
        <v>1926</v>
      </c>
      <c r="T601" s="409" t="str" cm="1">
        <f t="array" ref="T601">_xlfn.LET(_xlpm.cd,INDEX($S:$S,ROW()),IF(_xlpm.cd="","",IFERROR(_xlfn.XLOOKUP(_xlpm.cd,CostData!$C$22:$C$1000,CostData!$E$22:$E$1000,""),"")))</f>
        <v>Outer</v>
      </c>
      <c r="U601" s="409" t="s">
        <v>103</v>
      </c>
      <c r="V60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01" s="421" t="str" cm="1">
        <f t="array" ref="W6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2" spans="1:23" x14ac:dyDescent="0.25">
      <c r="A602" s="275" t="s">
        <v>254</v>
      </c>
      <c r="B602" s="370" t="s">
        <v>1848</v>
      </c>
      <c r="C602" s="370" t="s">
        <v>1935</v>
      </c>
      <c r="D602" s="370" t="s">
        <v>1814</v>
      </c>
      <c r="E602" s="370" t="str">
        <v>Z-Louvre Blade - 2"</v>
      </c>
      <c r="G602" s="370" t="s">
        <v>1866</v>
      </c>
      <c r="H602" s="370" t="s">
        <v>1866</v>
      </c>
      <c r="P602" s="1" t="str" cm="1">
        <f t="array" ref="P6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2" s="1" t="str" cm="1">
        <f t="array" ref="Q602">_xlfn.LET(_xlpm.cd,INDEX($S:$S,ROW()),IF(_xlpm.cd="","",IFERROR(_xlfn.XLOOKUP(_xlpm.cd,CostData!$C$22:$C$1000,CostData!$B$22:$B$1000,""),"")))</f>
        <v>Aluminium</v>
      </c>
      <c r="R602" s="16" t="s">
        <v>1849</v>
      </c>
      <c r="S602" s="24" t="s">
        <v>1927</v>
      </c>
      <c r="T602" s="1" t="str" cm="1">
        <f t="array" ref="T602">_xlfn.LET(_xlpm.cd,INDEX($S:$S,ROW()),IF(_xlpm.cd="","",IFERROR(_xlfn.XLOOKUP(_xlpm.cd,CostData!$C$22:$C$1000,CostData!$E$22:$E$1000,""),"")))</f>
        <v>Inner</v>
      </c>
      <c r="U602" s="1" t="s">
        <v>103</v>
      </c>
      <c r="V602" s="1" cm="1">
        <f t="array" ref="V60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02" s="400" t="str" cm="1">
        <f t="array" ref="W6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3" spans="1:23" x14ac:dyDescent="0.25">
      <c r="A603" s="275" t="s">
        <v>254</v>
      </c>
      <c r="B603" s="370" t="s">
        <v>382</v>
      </c>
      <c r="C603" s="370" t="s">
        <v>1935</v>
      </c>
      <c r="D603" s="370" t="s">
        <v>1793</v>
      </c>
      <c r="E603" s="370" t="str">
        <v>Z-Louvre Blade - 5"</v>
      </c>
      <c r="G603" s="370" t="s">
        <v>1867</v>
      </c>
      <c r="H603" s="370" t="s">
        <v>1867</v>
      </c>
      <c r="P603" s="1" t="str" cm="1">
        <f t="array" ref="P6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3" s="1" t="str" cm="1">
        <f t="array" ref="Q603">_xlfn.LET(_xlpm.cd,INDEX($S:$S,ROW()),IF(_xlpm.cd="","",IFERROR(_xlfn.XLOOKUP(_xlpm.cd,CostData!$C$22:$C$1000,CostData!$B$22:$B$1000,""),"")))</f>
        <v>Aluminium</v>
      </c>
      <c r="R603" s="16" t="s">
        <v>1863</v>
      </c>
      <c r="S603" s="24" t="s">
        <v>1928</v>
      </c>
      <c r="T603" s="1" t="str" cm="1">
        <f t="array" ref="T603">_xlfn.LET(_xlpm.cd,INDEX($S:$S,ROW()),IF(_xlpm.cd="","",IFERROR(_xlfn.XLOOKUP(_xlpm.cd,CostData!$C$22:$C$1000,CostData!$E$22:$E$1000,""),"")))</f>
        <v>Mullion</v>
      </c>
      <c r="U603" s="1" t="s">
        <v>103</v>
      </c>
      <c r="V60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03" s="400" t="str" cm="1">
        <f t="array" ref="W6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4" spans="1:23" x14ac:dyDescent="0.25">
      <c r="A604" s="275" t="s">
        <v>254</v>
      </c>
      <c r="B604" s="370" t="s">
        <v>1847</v>
      </c>
      <c r="C604" s="370" t="s">
        <v>1935</v>
      </c>
      <c r="D604" s="370" t="s">
        <v>1815</v>
      </c>
      <c r="E604" s="370" t="str">
        <v/>
      </c>
      <c r="G604" s="370" t="s">
        <v>1868</v>
      </c>
      <c r="H604" s="370" t="s">
        <v>1868</v>
      </c>
      <c r="P604" s="1" t="str" cm="1">
        <f t="array" ref="P6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4" s="1" t="str" cm="1">
        <f t="array" ref="Q604">_xlfn.LET(_xlpm.cd,INDEX($S:$S,ROW()),IF(_xlpm.cd="","",IFERROR(_xlfn.XLOOKUP(_xlpm.cd,CostData!$C$22:$C$1000,CostData!$B$22:$B$1000,""),"")))</f>
        <v>Aluminium</v>
      </c>
      <c r="R604" s="16" t="s">
        <v>1862</v>
      </c>
      <c r="S604" s="24" t="s">
        <v>1928</v>
      </c>
      <c r="T604" s="1" t="str" cm="1">
        <f t="array" ref="T604">_xlfn.LET(_xlpm.cd,INDEX($S:$S,ROW()),IF(_xlpm.cd="","",IFERROR(_xlfn.XLOOKUP(_xlpm.cd,CostData!$C$22:$C$1000,CostData!$E$22:$E$1000,""),"")))</f>
        <v>Mullion</v>
      </c>
      <c r="U604" s="1" t="s">
        <v>103</v>
      </c>
      <c r="V60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04" s="400" t="str" cm="1">
        <f t="array" ref="W6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5" spans="1:23" x14ac:dyDescent="0.25">
      <c r="A605" s="275" t="s">
        <v>254</v>
      </c>
      <c r="C605" s="370" t="s">
        <v>1935</v>
      </c>
      <c r="E605" s="370" t="str">
        <v/>
      </c>
      <c r="G605" s="370" t="s">
        <v>1869</v>
      </c>
      <c r="H605" s="370" t="s">
        <v>1869</v>
      </c>
      <c r="P605" s="1" t="str" cm="1">
        <f t="array" ref="P6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5" s="1" t="str" cm="1">
        <f t="array" ref="Q605">_xlfn.LET(_xlpm.cd,INDEX($S:$S,ROW()),IF(_xlpm.cd="","",IFERROR(_xlfn.XLOOKUP(_xlpm.cd,CostData!$C$22:$C$1000,CostData!$B$22:$B$1000,""),"")))</f>
        <v/>
      </c>
      <c r="T605" s="1" t="str" cm="1">
        <f t="array" ref="T605">_xlfn.LET(_xlpm.cd,INDEX($S:$S,ROW()),IF(_xlpm.cd="","",IFERROR(_xlfn.XLOOKUP(_xlpm.cd,CostData!$C$22:$C$1000,CostData!$E$22:$E$1000,""),"")))</f>
        <v/>
      </c>
      <c r="V605" s="1" t="str" cm="1">
        <f t="array" ref="V605">IFERROR(_xlfn.XLOOKUP(1,(TRIM(CostData!$B$22:$B$1000)="Aluminium")*(TRIM(CostData!$C$22:$C$1000)="CWS")*(TRIM(CostData!$E$22:$E$1000)=TRIM($S605)),_xlfn.SWITCH(TRIM(Enginuity!$A$19),"N/A",CostData!$H$22:$H$1000,"M/B",CostData!$I$22:$I$1000,"P/C",CostData!$J$22:$J$1000,"W/G",CostData!$K$22:$K$1000,""),""),"")</f>
        <v/>
      </c>
      <c r="W605" s="400" t="str" cm="1">
        <f t="array" ref="W6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6" spans="1:23" x14ac:dyDescent="0.25">
      <c r="A606" s="275" t="s">
        <v>254</v>
      </c>
      <c r="C606" s="370" t="s">
        <v>1935</v>
      </c>
      <c r="E606" s="370" t="str">
        <v/>
      </c>
      <c r="G606" s="370" t="s">
        <v>1870</v>
      </c>
      <c r="H606" s="370" t="s">
        <v>1870</v>
      </c>
      <c r="P606" s="1" t="str" cm="1">
        <f t="array" ref="P6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6" s="1" t="str" cm="1">
        <f t="array" ref="Q606">_xlfn.LET(_xlpm.cd,INDEX($S:$S,ROW()),IF(_xlpm.cd="","",IFERROR(_xlfn.XLOOKUP(_xlpm.cd,CostData!$C$22:$C$1000,CostData!$B$22:$B$1000,""),"")))</f>
        <v/>
      </c>
      <c r="R606" s="16" t="str">
        <f>IF(Enginuity!$A$22="","",Enginuity!$A$22&amp;" Fix Window")</f>
        <v>▼ [Lattice] Fix Window</v>
      </c>
      <c r="T606" s="1" t="str" cm="1">
        <f t="array" ref="T606">_xlfn.LET(_xlpm.cd,INDEX($S:$S,ROW()),IF(_xlpm.cd="","",IFERROR(_xlfn.XLOOKUP(_xlpm.cd,CostData!$C$22:$C$1000,CostData!$E$22:$E$1000,""),"")))</f>
        <v/>
      </c>
      <c r="U606" s="1" t="s">
        <v>176</v>
      </c>
      <c r="V606" s="1">
        <v>1</v>
      </c>
      <c r="W606" s="400" t="str">
        <f>IF(Enginuity!$A$22&lt;&gt;"",$W$4,"")</f>
        <v/>
      </c>
    </row>
    <row r="607" spans="1:23" x14ac:dyDescent="0.25">
      <c r="A607" s="275" t="s">
        <v>254</v>
      </c>
      <c r="C607" s="370" t="s">
        <v>1935</v>
      </c>
      <c r="E607" s="370" t="str">
        <v/>
      </c>
      <c r="G607" s="370" t="s">
        <v>1871</v>
      </c>
      <c r="H607" s="370" t="s">
        <v>1871</v>
      </c>
      <c r="P607" s="1" t="str" cm="1">
        <f t="array" ref="P6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7" s="1" t="str" cm="1">
        <f t="array" ref="Q607">_xlfn.LET(_xlpm.cd,INDEX($S:$S,ROW()),IF(_xlpm.cd="","",IFERROR(_xlfn.XLOOKUP(_xlpm.cd,CostData!$C$22:$C$1000,CostData!$B$22:$B$1000,""),"")))</f>
        <v/>
      </c>
      <c r="T607" s="1" t="str" cm="1">
        <f t="array" ref="T607">_xlfn.LET(_xlpm.cd,INDEX($S:$S,ROW()),IF(_xlpm.cd="","",IFERROR(_xlfn.XLOOKUP(_xlpm.cd,CostData!$C$22:$C$1000,CostData!$E$22:$E$1000,""),"")))</f>
        <v/>
      </c>
      <c r="V607" s="1" t="str" cm="1">
        <f t="array" ref="V607">IFERROR(_xlfn.XLOOKUP(1,(TRIM(CostData!$B$22:$B$1000)="Aluminium")*(TRIM(CostData!$C$22:$C$1000)="CWS")*(TRIM(CostData!$E$22:$E$1000)=TRIM($S607)),_xlfn.SWITCH(TRIM(Enginuity!$A$19),"N/A",CostData!$H$22:$H$1000,"M/B",CostData!$I$22:$I$1000,"P/C",CostData!$J$22:$J$1000,"W/G",CostData!$K$22:$K$1000,""),""),"")</f>
        <v/>
      </c>
      <c r="W607" s="400" t="str" cm="1">
        <f t="array" ref="W6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8" spans="1:23" x14ac:dyDescent="0.25">
      <c r="A608" s="275" t="s">
        <v>254</v>
      </c>
      <c r="C608" s="370" t="s">
        <v>1935</v>
      </c>
      <c r="E608" s="370" t="str">
        <v/>
      </c>
      <c r="G608" s="370" t="s">
        <v>1872</v>
      </c>
      <c r="H608" s="370" t="s">
        <v>1872</v>
      </c>
      <c r="P608" s="1" t="str" cm="1">
        <f t="array" ref="P6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8" s="1" t="str" cm="1">
        <f t="array" ref="Q608">_xlfn.LET(_xlpm.cd,INDEX($S:$S,ROW()),IF(_xlpm.cd="","",IFERROR(_xlfn.XLOOKUP(_xlpm.cd,CostData!$C$22:$C$1000,CostData!$B$22:$B$1000,""),"")))</f>
        <v/>
      </c>
      <c r="T608" s="1" t="str" cm="1">
        <f t="array" ref="T608">_xlfn.LET(_xlpm.cd,INDEX($S:$S,ROW()),IF(_xlpm.cd="","",IFERROR(_xlfn.XLOOKUP(_xlpm.cd,CostData!$C$22:$C$1000,CostData!$E$22:$E$1000,""),"")))</f>
        <v/>
      </c>
      <c r="V608" s="1" t="str" cm="1">
        <f t="array" ref="V608">IFERROR(_xlfn.XLOOKUP(1,(TRIM(CostData!$B$22:$B$1000)="Aluminium")*(TRIM(CostData!$C$22:$C$1000)="CWS")*(TRIM(CostData!$E$22:$E$1000)=TRIM($S608)),_xlfn.SWITCH(TRIM(Enginuity!$A$19),"N/A",CostData!$H$22:$H$1000,"M/B",CostData!$I$22:$I$1000,"P/C",CostData!$J$22:$J$1000,"W/G",CostData!$K$22:$K$1000,""),""),"")</f>
        <v/>
      </c>
      <c r="W608" s="400" t="str" cm="1">
        <f t="array" ref="W6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9" spans="1:23" x14ac:dyDescent="0.25">
      <c r="A609" s="275" t="s">
        <v>254</v>
      </c>
      <c r="C609" s="370" t="s">
        <v>1935</v>
      </c>
      <c r="E609" s="370" t="str">
        <v/>
      </c>
      <c r="G609" s="370" t="s">
        <v>1873</v>
      </c>
      <c r="H609" s="370" t="s">
        <v>1873</v>
      </c>
      <c r="P609" s="1" t="str" cm="1">
        <f t="array" ref="P6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9" s="1" t="str" cm="1">
        <f t="array" ref="Q609">_xlfn.LET(_xlpm.cd,INDEX($S:$S,ROW()),IF(_xlpm.cd="","",IFERROR(_xlfn.XLOOKUP(_xlpm.cd,CostData!$C$22:$C$1000,CostData!$B$22:$B$1000,""),"")))</f>
        <v/>
      </c>
      <c r="T609" s="1" t="str" cm="1">
        <f t="array" ref="T609">_xlfn.LET(_xlpm.cd,INDEX($S:$S,ROW()),IF(_xlpm.cd="","",IFERROR(_xlfn.XLOOKUP(_xlpm.cd,CostData!$C$22:$C$1000,CostData!$E$22:$E$1000,""),"")))</f>
        <v/>
      </c>
      <c r="V609" s="1" t="str" cm="1">
        <f t="array" ref="V609">IFERROR(_xlfn.XLOOKUP(1,(TRIM(CostData!$B$22:$B$1000)="Aluminium")*(TRIM(CostData!$C$22:$C$1000)="CWS")*(TRIM(CostData!$E$22:$E$1000)=TRIM($S609)),_xlfn.SWITCH(TRIM(Enginuity!$A$19),"N/A",CostData!$H$22:$H$1000,"M/B",CostData!$I$22:$I$1000,"P/C",CostData!$J$22:$J$1000,"W/G",CostData!$K$22:$K$1000,""),""),"")</f>
        <v/>
      </c>
      <c r="W609" s="400" t="str" cm="1">
        <f t="array" ref="W6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0" spans="1:23" x14ac:dyDescent="0.25">
      <c r="A610" s="275" t="s">
        <v>254</v>
      </c>
      <c r="C610" s="370" t="s">
        <v>1935</v>
      </c>
      <c r="E610" s="370" t="str">
        <v/>
      </c>
      <c r="P610" s="1" t="str" cm="1">
        <f t="array" ref="P6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0" s="1" t="str" cm="1">
        <f t="array" ref="Q610">_xlfn.LET(_xlpm.cd,INDEX($S:$S,ROW()),IF(_xlpm.cd="","",IFERROR(_xlfn.XLOOKUP(_xlpm.cd,CostData!$C$22:$C$1000,CostData!$B$22:$B$1000,""),"")))</f>
        <v/>
      </c>
      <c r="T610" s="1" t="str" cm="1">
        <f t="array" ref="T610">_xlfn.LET(_xlpm.cd,INDEX($S:$S,ROW()),IF(_xlpm.cd="","",IFERROR(_xlfn.XLOOKUP(_xlpm.cd,CostData!$C$22:$C$1000,CostData!$E$22:$E$1000,""),"")))</f>
        <v/>
      </c>
      <c r="V610" s="1" t="str" cm="1">
        <f t="array" ref="V610">IFERROR(_xlfn.XLOOKUP(1,(TRIM(CostData!$B$22:$B$1000)="Aluminium")*(TRIM(CostData!$C$22:$C$1000)="CWS")*(TRIM(CostData!$E$22:$E$1000)=TRIM($S610)),_xlfn.SWITCH(TRIM(Enginuity!$A$19),"N/A",CostData!$H$22:$H$1000,"M/B",CostData!$I$22:$I$1000,"P/C",CostData!$J$22:$J$1000,"W/G",CostData!$K$22:$K$1000,""),""),"")</f>
        <v/>
      </c>
      <c r="W610" s="400" t="str" cm="1">
        <f t="array" ref="W6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1" spans="1:23" x14ac:dyDescent="0.25">
      <c r="A611" s="275" t="s">
        <v>254</v>
      </c>
      <c r="C611" s="370" t="s">
        <v>1935</v>
      </c>
      <c r="P611" s="1" t="str" cm="1">
        <f t="array" ref="P6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1" s="1" t="str" cm="1">
        <f t="array" ref="Q611">_xlfn.LET(_xlpm.cd,INDEX($S:$S,ROW()),IF(_xlpm.cd="","",IFERROR(_xlfn.XLOOKUP(_xlpm.cd,CostData!$C$22:$C$1000,CostData!$B$22:$B$1000,""),"")))</f>
        <v/>
      </c>
      <c r="T611" s="1" t="str" cm="1">
        <f t="array" ref="T611">_xlfn.LET(_xlpm.cd,INDEX($S:$S,ROW()),IF(_xlpm.cd="","",IFERROR(_xlfn.XLOOKUP(_xlpm.cd,CostData!$C$22:$C$1000,CostData!$E$22:$E$1000,""),"")))</f>
        <v/>
      </c>
      <c r="V611" s="1" t="str" cm="1">
        <f t="array" ref="V611">IFERROR(_xlfn.XLOOKUP(1,(TRIM(CostData!$B$22:$B$1000)="Aluminium")*(TRIM(CostData!$C$22:$C$1000)="CWS")*(TRIM(CostData!$E$22:$E$1000)=TRIM($S611)),_xlfn.SWITCH(TRIM(Enginuity!$A$19),"N/A",CostData!$H$22:$H$1000,"M/B",CostData!$I$22:$I$1000,"P/C",CostData!$J$22:$J$1000,"W/G",CostData!$K$22:$K$1000,""),""),"")</f>
        <v/>
      </c>
      <c r="W611" s="400" t="str" cm="1">
        <f t="array" ref="W6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2" spans="1:23" x14ac:dyDescent="0.25">
      <c r="A612" s="275" t="s">
        <v>254</v>
      </c>
      <c r="C612" s="370" t="s">
        <v>1935</v>
      </c>
      <c r="P612" s="1" t="str" cm="1">
        <f t="array" ref="P6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2" s="1" t="str" cm="1">
        <f t="array" ref="Q612">_xlfn.LET(_xlpm.cd,INDEX($S:$S,ROW()),IF(_xlpm.cd="","",IFERROR(_xlfn.XLOOKUP(_xlpm.cd,CostData!$C$22:$C$1000,CostData!$B$22:$B$1000,""),"")))</f>
        <v/>
      </c>
      <c r="T612" s="1" t="str" cm="1">
        <f t="array" ref="T612">_xlfn.LET(_xlpm.cd,INDEX($S:$S,ROW()),IF(_xlpm.cd="","",IFERROR(_xlfn.XLOOKUP(_xlpm.cd,CostData!$C$22:$C$1000,CostData!$E$22:$E$1000,""),"")))</f>
        <v/>
      </c>
      <c r="V612" s="1" t="str" cm="1">
        <f t="array" ref="V612">IFERROR(_xlfn.XLOOKUP(1,(TRIM(CostData!$B$22:$B$1000)="Aluminium")*(TRIM(CostData!$C$22:$C$1000)="CWS")*(TRIM(CostData!$E$22:$E$1000)=TRIM($S612)),_xlfn.SWITCH(TRIM(Enginuity!$A$19),"N/A",CostData!$H$22:$H$1000,"M/B",CostData!$I$22:$I$1000,"P/C",CostData!$J$22:$J$1000,"W/G",CostData!$K$22:$K$1000,""),""),"")</f>
        <v/>
      </c>
      <c r="W612" s="400" t="str" cm="1">
        <f t="array" ref="W6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3" spans="1:23" x14ac:dyDescent="0.25">
      <c r="A613" s="275" t="s">
        <v>254</v>
      </c>
      <c r="C613" s="370" t="s">
        <v>1935</v>
      </c>
      <c r="P613" s="1" t="str" cm="1">
        <f t="array" ref="P6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3" s="1" t="str" cm="1">
        <f t="array" ref="Q613">_xlfn.LET(_xlpm.cd,INDEX($S:$S,ROW()),IF(_xlpm.cd="","",IFERROR(_xlfn.XLOOKUP(_xlpm.cd,CostData!$C$22:$C$1000,CostData!$B$22:$B$1000,""),"")))</f>
        <v/>
      </c>
      <c r="T613" s="1" t="str" cm="1">
        <f t="array" ref="T613">_xlfn.LET(_xlpm.cd,INDEX($S:$S,ROW()),IF(_xlpm.cd="","",IFERROR(_xlfn.XLOOKUP(_xlpm.cd,CostData!$C$22:$C$1000,CostData!$E$22:$E$1000,""),"")))</f>
        <v/>
      </c>
      <c r="V613" s="1" t="str" cm="1">
        <f t="array" ref="V613">IFERROR(_xlfn.XLOOKUP(1,(TRIM(CostData!$B$22:$B$1000)="Aluminium")*(TRIM(CostData!$C$22:$C$1000)="CWS")*(TRIM(CostData!$E$22:$E$1000)=TRIM($S613)),_xlfn.SWITCH(TRIM(Enginuity!$A$19),"N/A",CostData!$H$22:$H$1000,"M/B",CostData!$I$22:$I$1000,"P/C",CostData!$J$22:$J$1000,"W/G",CostData!$K$22:$K$1000,""),""),"")</f>
        <v/>
      </c>
      <c r="W613" s="400" t="str" cm="1">
        <f t="array" ref="W6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4" spans="1:23" x14ac:dyDescent="0.25">
      <c r="A614" s="275" t="s">
        <v>254</v>
      </c>
      <c r="C614" s="370" t="s">
        <v>1935</v>
      </c>
      <c r="P614" s="1" t="str" cm="1">
        <f t="array" ref="P6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4" s="1" t="str" cm="1">
        <f t="array" ref="Q614">_xlfn.LET(_xlpm.cd,INDEX($S:$S,ROW()),IF(_xlpm.cd="","",IFERROR(_xlfn.XLOOKUP(_xlpm.cd,CostData!$C$22:$C$1000,CostData!$B$22:$B$1000,""),"")))</f>
        <v/>
      </c>
      <c r="T614" s="1" t="str" cm="1">
        <f t="array" ref="T614">_xlfn.LET(_xlpm.cd,INDEX($S:$S,ROW()),IF(_xlpm.cd="","",IFERROR(_xlfn.XLOOKUP(_xlpm.cd,CostData!$C$22:$C$1000,CostData!$E$22:$E$1000,""),"")))</f>
        <v/>
      </c>
      <c r="V614" s="1" t="str" cm="1">
        <f t="array" ref="V614">IFERROR(_xlfn.XLOOKUP(1,(TRIM(CostData!$B$22:$B$1000)="Aluminium")*(TRIM(CostData!$C$22:$C$1000)="CWS")*(TRIM(CostData!$E$22:$E$1000)=TRIM($S614)),_xlfn.SWITCH(TRIM(Enginuity!$A$19),"N/A",CostData!$H$22:$H$1000,"M/B",CostData!$I$22:$I$1000,"P/C",CostData!$J$22:$J$1000,"W/G",CostData!$K$22:$K$1000,""),""),"")</f>
        <v/>
      </c>
      <c r="W614" s="400" t="str" cm="1">
        <f t="array" ref="W6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5" spans="1:23" x14ac:dyDescent="0.25">
      <c r="A615" s="275" t="s">
        <v>254</v>
      </c>
      <c r="C615" s="370" t="s">
        <v>1935</v>
      </c>
      <c r="P615" s="1" t="str" cm="1">
        <f t="array" ref="P6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5" s="1" t="str" cm="1">
        <f t="array" ref="Q615">_xlfn.LET(_xlpm.cd,INDEX($S:$S,ROW()),IF(_xlpm.cd="","",IFERROR(_xlfn.XLOOKUP(_xlpm.cd,CostData!$C$22:$C$1000,CostData!$B$22:$B$1000,""),"")))</f>
        <v/>
      </c>
      <c r="T615" s="1" t="str" cm="1">
        <f t="array" ref="T615">_xlfn.LET(_xlpm.cd,INDEX($S:$S,ROW()),IF(_xlpm.cd="","",IFERROR(_xlfn.XLOOKUP(_xlpm.cd,CostData!$C$22:$C$1000,CostData!$E$22:$E$1000,""),"")))</f>
        <v/>
      </c>
      <c r="V615" s="1" t="str" cm="1">
        <f t="array" ref="V615">IFERROR(_xlfn.XLOOKUP(1,(TRIM(CostData!$B$22:$B$1000)="Aluminium")*(TRIM(CostData!$C$22:$C$1000)="CWS")*(TRIM(CostData!$E$22:$E$1000)=TRIM($S615)),_xlfn.SWITCH(TRIM(Enginuity!$A$19),"N/A",CostData!$H$22:$H$1000,"M/B",CostData!$I$22:$I$1000,"P/C",CostData!$J$22:$J$1000,"W/G",CostData!$K$22:$K$1000,""),""),"")</f>
        <v/>
      </c>
      <c r="W615" s="400" t="str" cm="1">
        <f t="array" ref="W6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6" spans="1:23" x14ac:dyDescent="0.25">
      <c r="A616" s="275" t="s">
        <v>254</v>
      </c>
      <c r="C616" s="370" t="s">
        <v>1935</v>
      </c>
      <c r="P616" s="1" t="str" cm="1">
        <f t="array" ref="P6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6" s="1" t="str" cm="1">
        <f t="array" ref="Q616">_xlfn.LET(_xlpm.cd,INDEX($S:$S,ROW()),IF(_xlpm.cd="","",IFERROR(_xlfn.XLOOKUP(_xlpm.cd,CostData!$C$22:$C$1000,CostData!$B$22:$B$1000,""),"")))</f>
        <v/>
      </c>
      <c r="T616" s="1" t="str" cm="1">
        <f t="array" ref="T616">_xlfn.LET(_xlpm.cd,INDEX($S:$S,ROW()),IF(_xlpm.cd="","",IFERROR(_xlfn.XLOOKUP(_xlpm.cd,CostData!$C$22:$C$1000,CostData!$E$22:$E$1000,""),"")))</f>
        <v/>
      </c>
      <c r="V616" s="1" t="str" cm="1">
        <f t="array" ref="V616">IFERROR(_xlfn.XLOOKUP(1,(TRIM(CostData!$B$22:$B$1000)="Aluminium")*(TRIM(CostData!$C$22:$C$1000)="CWS")*(TRIM(CostData!$E$22:$E$1000)=TRIM($S616)),_xlfn.SWITCH(TRIM(Enginuity!$A$19),"N/A",CostData!$H$22:$H$1000,"M/B",CostData!$I$22:$I$1000,"P/C",CostData!$J$22:$J$1000,"W/G",CostData!$K$22:$K$1000,""),""),"")</f>
        <v/>
      </c>
      <c r="W616" s="400" t="str" cm="1">
        <f t="array" ref="W6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7" spans="1:23" x14ac:dyDescent="0.25">
      <c r="A617" s="275" t="s">
        <v>254</v>
      </c>
      <c r="C617" s="370" t="s">
        <v>1935</v>
      </c>
      <c r="P617" s="1" t="str" cm="1">
        <f t="array" ref="P6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7" s="1" t="s">
        <v>1833</v>
      </c>
      <c r="R617" s="16" t="str">
        <f>IF($T617="","","⬒ "&amp;$T617)</f>
        <v>⬒ Z-Louvre Blade - 5"</v>
      </c>
      <c r="T617" s="1" t="str">
        <f>IF(Enginuity!$A$20="","",Enginuity!$A$20)</f>
        <v>Z-Louvre Blade - 5"</v>
      </c>
      <c r="U617" s="1" t="s">
        <v>121</v>
      </c>
      <c r="V617" s="1">
        <f>IF(Enginuity!$B$9="","",Enginuity!$B$9)</f>
        <v>200</v>
      </c>
      <c r="W617" s="400">
        <f>IFERROR(INDEX(CostData!$Q$3:$Q$12,MATCH(TRIM(Enginuity!$A$20),CostData!$P$3:$P$12,0)),"")</f>
        <v>31.774000000000001</v>
      </c>
    </row>
    <row r="618" spans="1:23" x14ac:dyDescent="0.25">
      <c r="A618" s="275" t="s">
        <v>254</v>
      </c>
      <c r="C618" s="370" t="s">
        <v>1935</v>
      </c>
      <c r="P618" s="1" t="str" cm="1">
        <f t="array" ref="P6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8" s="1" t="str" cm="1">
        <f t="array" ref="V618">IFERROR(_xlfn.XLOOKUP(1,(TRIM(CostData!$B$22:$B$1000)="Aluminium")*(TRIM(CostData!$C$22:$C$1000)="CWS")*(TRIM(CostData!$E$22:$E$1000)=TRIM($S618)),_xlfn.SWITCH(TRIM(Enginuity!$A$19),"N/A",CostData!$H$22:$H$1000,"M/B",CostData!$I$22:$I$1000,"P/C",CostData!$J$22:$J$1000,"W/G",CostData!$K$22:$K$1000,""),""),"")</f>
        <v/>
      </c>
      <c r="W618" s="400" t="str" cm="1">
        <f t="array" ref="W618">IF(OR(TRIM(CalcEngine!$A618)&lt;&gt;TRIM(Enginuity!$A$1),TRIM(CalcEngine!$C618)&lt;&gt;TRIM(Enginuity!$A$18),CalcEngine!$V618="",CalcEngine!$V618=0),"",IFERROR(_xlfn.XLOOKUP(1,(TRIM(CostData!$B$22:$B$1000)="Aluminium")*(TRIM(CostData!$C$22:$C$1000)="CWS")*(TRIM(CostData!$E$22:$E$1000)=TRIM(CalcEngine!$T618)),_xlfn.SWITCH(TRIM(Enginuity!$A$19),"N/A",CostData!$H$22:$H$1000,"M/B",CostData!$I$22:$I$1000,"P/C",CostData!$J$22:$J$1000,"W/G",CostData!$K$22:$K$1000,""),""),""))</f>
        <v/>
      </c>
    </row>
    <row r="619" spans="1:23" x14ac:dyDescent="0.25">
      <c r="A619" s="275" t="s">
        <v>254</v>
      </c>
      <c r="C619" s="370" t="s">
        <v>1935</v>
      </c>
      <c r="P619" s="1" t="str" cm="1">
        <f t="array" ref="P6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9" s="1" t="str" cm="1">
        <f t="array" ref="V619">IFERROR(_xlfn.XLOOKUP(1,(TRIM(CostData!$B$22:$B$1000)="Aluminium")*(TRIM(CostData!$C$22:$C$1000)="CWS")*(TRIM(CostData!$E$22:$E$1000)=TRIM($S619)),_xlfn.SWITCH(TRIM(Enginuity!$A$19),"N/A",CostData!$H$22:$H$1000,"M/B",CostData!$I$22:$I$1000,"P/C",CostData!$J$22:$J$1000,"W/G",CostData!$K$22:$K$1000,""),""),"")</f>
        <v/>
      </c>
      <c r="W619" s="400" t="str" cm="1">
        <f t="array" ref="W619">IF(OR(TRIM(CalcEngine!$A619)&lt;&gt;TRIM(Enginuity!$A$1),TRIM(CalcEngine!$C619)&lt;&gt;TRIM(Enginuity!$A$18),CalcEngine!$V619="",CalcEngine!$V619=0),"",IFERROR(_xlfn.XLOOKUP(1,(TRIM(CostData!$B$22:$B$1000)="Aluminium")*(TRIM(CostData!$C$22:$C$1000)="CWS")*(TRIM(CostData!$E$22:$E$1000)=TRIM(CalcEngine!$T619)),_xlfn.SWITCH(TRIM(Enginuity!$A$19),"N/A",CostData!$H$22:$H$1000,"M/B",CostData!$I$22:$I$1000,"P/C",CostData!$J$22:$J$1000,"W/G",CostData!$K$22:$K$1000,""),""),""))</f>
        <v/>
      </c>
    </row>
    <row r="620" spans="1:23" x14ac:dyDescent="0.25">
      <c r="A620" s="275" t="s">
        <v>254</v>
      </c>
      <c r="C620" s="370" t="s">
        <v>1935</v>
      </c>
      <c r="P620" s="1" t="str" cm="1">
        <f t="array" ref="P6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0" s="1" t="str" cm="1">
        <f t="array" ref="V620">IFERROR(_xlfn.XLOOKUP(1,(TRIM(CostData!$B$22:$B$1000)="Aluminium")*(TRIM(CostData!$C$22:$C$1000)="CWS")*(TRIM(CostData!$E$22:$E$1000)=TRIM($S620)),_xlfn.SWITCH(TRIM(Enginuity!$A$19),"N/A",CostData!$H$22:$H$1000,"M/B",CostData!$I$22:$I$1000,"P/C",CostData!$J$22:$J$1000,"W/G",CostData!$K$22:$K$1000,""),""),"")</f>
        <v/>
      </c>
      <c r="W620" s="400" t="str" cm="1">
        <f t="array" ref="W620">IF(OR(TRIM(CalcEngine!$A620)&lt;&gt;TRIM(Enginuity!$A$1),TRIM(CalcEngine!$C620)&lt;&gt;TRIM(Enginuity!$A$18),CalcEngine!$V620="",CalcEngine!$V620=0),"",IFERROR(_xlfn.XLOOKUP(1,(TRIM(CostData!$B$22:$B$1000)="Aluminium")*(TRIM(CostData!$C$22:$C$1000)="CWS")*(TRIM(CostData!$E$22:$E$1000)=TRIM(CalcEngine!$T620)),_xlfn.SWITCH(TRIM(Enginuity!$A$19),"N/A",CostData!$H$22:$H$1000,"M/B",CostData!$I$22:$I$1000,"P/C",CostData!$J$22:$J$1000,"W/G",CostData!$K$22:$K$1000,""),""),""))</f>
        <v/>
      </c>
    </row>
    <row r="621" spans="1:23" x14ac:dyDescent="0.25">
      <c r="A621" s="275" t="s">
        <v>254</v>
      </c>
      <c r="C621" s="370" t="s">
        <v>1935</v>
      </c>
      <c r="P621" s="1" t="str" cm="1">
        <f t="array" ref="P6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1" s="1" t="str" cm="1">
        <f t="array" ref="V621">IFERROR(_xlfn.XLOOKUP(1,(TRIM(CostData!$B$22:$B$1000)="Aluminium")*(TRIM(CostData!$C$22:$C$1000)="CWS")*(TRIM(CostData!$E$22:$E$1000)=TRIM($S621)),_xlfn.SWITCH(TRIM(Enginuity!$A$19),"N/A",CostData!$H$22:$H$1000,"M/B",CostData!$I$22:$I$1000,"P/C",CostData!$J$22:$J$1000,"W/G",CostData!$K$22:$K$1000,""),""),"")</f>
        <v/>
      </c>
      <c r="W621" s="400" t="str" cm="1">
        <f t="array" ref="W621">IF(OR(TRIM(CalcEngine!$A621)&lt;&gt;TRIM(Enginuity!$A$1),TRIM(CalcEngine!$C621)&lt;&gt;TRIM(Enginuity!$A$18),CalcEngine!$V621="",CalcEngine!$V621=0),"",IFERROR(_xlfn.XLOOKUP(1,(TRIM(CostData!$B$22:$B$1000)="Aluminium")*(TRIM(CostData!$C$22:$C$1000)="CWS")*(TRIM(CostData!$E$22:$E$1000)=TRIM(CalcEngine!$T621)),_xlfn.SWITCH(TRIM(Enginuity!$A$19),"N/A",CostData!$H$22:$H$1000,"M/B",CostData!$I$22:$I$1000,"P/C",CostData!$J$22:$J$1000,"W/G",CostData!$K$22:$K$1000,""),""),""))</f>
        <v/>
      </c>
    </row>
    <row r="622" spans="1:23" x14ac:dyDescent="0.25">
      <c r="A622" s="275" t="s">
        <v>254</v>
      </c>
      <c r="C622" s="370" t="s">
        <v>1935</v>
      </c>
      <c r="P622" s="1" t="str" cm="1">
        <f t="array" ref="P6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22" s="400"/>
    </row>
    <row r="623" spans="1:23" x14ac:dyDescent="0.25">
      <c r="A623" s="275" t="s">
        <v>254</v>
      </c>
      <c r="C623" s="370" t="s">
        <v>1935</v>
      </c>
      <c r="P623" s="1" t="str" cm="1">
        <f t="array" ref="P6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3" s="1" t="str">
        <f>IF($S623="","",IFERROR(_xlfn.XLOOKUP($S623,CostData!$U$22:$U$1000,CostData!$T$22:$T$1000,""),""))</f>
        <v>Hinge</v>
      </c>
      <c r="R623" s="16" t="str">
        <f>IF($S623="","",$T623)</f>
        <v>Hung Friction Stay</v>
      </c>
      <c r="S623" s="24" t="s">
        <v>1880</v>
      </c>
      <c r="T623" s="1" t="str" cm="1">
        <f t="array" ref="T623">_xlfn.LET(_xlpm.cd,INDEX($S:$S,ROW()),IF(_xlpm.cd="","",IFERROR(_xlfn.XLOOKUP(_xlpm.cd,CostData!$U$22:$U$1000,CostData!$W$22:$W$1000,""),"")))</f>
        <v>Hung Friction Stay</v>
      </c>
      <c r="U623" s="1" t="str">
        <f>IF($S623="","",IFERROR(_xlfn.XLOOKUP($S623,CostData!$U$22:$U$1000,CostData!$AA$22:$AA$1000,""),""))</f>
        <v>Pair</v>
      </c>
      <c r="V623" s="1" t="str" cm="1">
        <f t="array" ref="V62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23" s="400" t="str" cm="1">
        <f t="array" ref="W6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4" spans="1:23" x14ac:dyDescent="0.25">
      <c r="A624" s="275" t="s">
        <v>254</v>
      </c>
      <c r="C624" s="370" t="s">
        <v>1935</v>
      </c>
      <c r="P624" s="1" t="str" cm="1">
        <f t="array" ref="P6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4" s="1" t="str">
        <f>IF($S624="","",IFERROR(_xlfn.XLOOKUP($S624,CostData!$U$22:$U$1000,CostData!$T$22:$T$1000,""),""))</f>
        <v>Hinge</v>
      </c>
      <c r="R624" s="16" t="str">
        <f>IF($S624="","",$T624)</f>
        <v>Casement Friction Stay</v>
      </c>
      <c r="S624" s="24" t="s">
        <v>1879</v>
      </c>
      <c r="T624" s="1" t="str" cm="1">
        <f t="array" ref="T624">_xlfn.LET(_xlpm.cd,INDEX($S:$S,ROW()),IF(_xlpm.cd="","",IFERROR(_xlfn.XLOOKUP(_xlpm.cd,CostData!$U$22:$U$1000,CostData!$W$22:$W$1000,""),"")))</f>
        <v>Casement Friction Stay</v>
      </c>
      <c r="U624" s="1" t="str">
        <f>IF($S624="","",IFERROR(_xlfn.XLOOKUP($S624,CostData!$U$22:$U$1000,CostData!$AA$22:$AA$1000,""),""))</f>
        <v>Pair</v>
      </c>
      <c r="V624" s="1">
        <f>IF(Enginuity!$B$13&gt;0,Enginuity!$B$13,"")</f>
        <v>7</v>
      </c>
      <c r="W624" s="400" t="str" cm="1">
        <f t="array" ref="W6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5" spans="1:23" x14ac:dyDescent="0.25">
      <c r="A625" s="275" t="s">
        <v>254</v>
      </c>
      <c r="C625" s="370" t="s">
        <v>1935</v>
      </c>
      <c r="P625" s="1" t="str" cm="1">
        <f t="array" ref="P6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5" s="1" t="str">
        <f>IF($S625="","",IFERROR(_xlfn.XLOOKUP($S625,CostData!$U$22:$U$1000,CostData!$T$22:$T$1000,""),""))</f>
        <v>Handle</v>
      </c>
      <c r="R625" s="16" t="str">
        <f>IF($S625="","",$T625)</f>
        <v>Casement Handle</v>
      </c>
      <c r="S625" s="24" t="s">
        <v>113</v>
      </c>
      <c r="T625" s="1" t="str" cm="1">
        <f t="array" ref="T625">_xlfn.LET(_xlpm.cd,INDEX($S:$S,ROW()),IF(_xlpm.cd="","",IFERROR(_xlfn.XLOOKUP(_xlpm.cd,CostData!$U$22:$U$1000,CostData!$W$22:$W$1000,""),"")))</f>
        <v>Casement Handle</v>
      </c>
      <c r="U625" s="1" t="str">
        <f>IF($S625="","",IFERROR(_xlfn.XLOOKUP($S625,CostData!$U$22:$U$1000,CostData!$AA$22:$AA$1000,""),""))</f>
        <v>Pcs</v>
      </c>
      <c r="V625" s="1" cm="1">
        <f t="array" ref="V62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25" s="400" t="str" cm="1">
        <f t="array" ref="W6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6" spans="1:23" x14ac:dyDescent="0.25">
      <c r="A626" s="275" t="s">
        <v>254</v>
      </c>
      <c r="C626" s="370" t="s">
        <v>1935</v>
      </c>
      <c r="P626" s="1" t="str" cm="1">
        <f t="array" ref="P6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6" s="1" t="str">
        <f>IF($S626="","",IFERROR(_xlfn.XLOOKUP($S626,CostData!$U$22:$U$1000,CostData!$T$22:$T$1000,""),""))</f>
        <v>Black Tape</v>
      </c>
      <c r="R626" s="16" t="str">
        <f>IF($S626="","",$T626)</f>
        <v>2.5" x 2 Black Tape</v>
      </c>
      <c r="S626" s="24" t="s">
        <v>1898</v>
      </c>
      <c r="T626" s="1" t="str" cm="1">
        <f t="array" ref="T626">_xlfn.LET(_xlpm.cd,INDEX($S:$S,ROW()),IF(_xlpm.cd="","",IFERROR(_xlfn.XLOOKUP(_xlpm.cd,CostData!$U$22:$U$1000,CostData!$W$22:$W$1000,""),"")))</f>
        <v>2.5" x 2 Black Tape</v>
      </c>
      <c r="U626" s="1" t="str">
        <f>IF($S626="","",IFERROR(_xlfn.XLOOKUP($S626,CostData!$U$22:$U$1000,CostData!$AA$22:$AA$1000,""),""))</f>
        <v>Ft</v>
      </c>
      <c r="V626" s="1">
        <f>IF(SUM($V$61:$V$64)=0,"",SUM($V$61:$V$64))</f>
        <v>440</v>
      </c>
      <c r="W626" s="400" t="str" cm="1">
        <f t="array" ref="W6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7" spans="1:23" x14ac:dyDescent="0.25">
      <c r="A627" s="275" t="s">
        <v>254</v>
      </c>
      <c r="C627" s="370" t="s">
        <v>1935</v>
      </c>
      <c r="P627" s="1" t="str" cm="1">
        <f t="array" ref="P6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7" s="1" t="str">
        <f>IF($S627="","",IFERROR(_xlfn.XLOOKUP($S627,CostData!$U$22:$U$1000,CostData!$T$22:$T$1000,""),""))</f>
        <v>Gasket</v>
      </c>
      <c r="R627" s="16" t="s">
        <v>1931</v>
      </c>
      <c r="S627" s="24" t="s">
        <v>1912</v>
      </c>
      <c r="T627" s="1" t="str" cm="1">
        <f t="array" ref="T627">_xlfn.LET(_xlpm.cd,INDEX($S:$S,ROW()),IF(_xlpm.cd="","",IFERROR(_xlfn.XLOOKUP(_xlpm.cd,CostData!$U$22:$U$1000,CostData!$W$22:$W$1000,""),"")))</f>
        <v>F18 Gasket</v>
      </c>
      <c r="U627" s="1" t="str">
        <f>IF($S627="","",IFERROR(_xlfn.XLOOKUP($S627,CostData!$U$22:$U$1000,CostData!$AA$22:$AA$1000,""),""))</f>
        <v>Ft</v>
      </c>
      <c r="V627" s="1">
        <f>IF($V$61="","",$V$61)</f>
        <v>200</v>
      </c>
      <c r="W627" s="400" t="str" cm="1">
        <f t="array" ref="W6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8" spans="1:23" x14ac:dyDescent="0.25">
      <c r="A628" s="275" t="s">
        <v>254</v>
      </c>
      <c r="C628" s="370" t="s">
        <v>1935</v>
      </c>
      <c r="P628" s="1" t="str" cm="1">
        <f t="array" ref="P6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8" s="1" t="str">
        <f>IF($S628="","",IFERROR(_xlfn.XLOOKUP($S628,CostData!$U$22:$U$1000,CostData!$T$22:$T$1000,""),""))</f>
        <v>Gasket</v>
      </c>
      <c r="R628" s="16" t="s">
        <v>1932</v>
      </c>
      <c r="S628" s="24" t="s">
        <v>1916</v>
      </c>
      <c r="T628" s="1" t="str" cm="1">
        <f t="array" ref="T628">_xlfn.LET(_xlpm.cd,INDEX($S:$S,ROW()),IF(_xlpm.cd="","",IFERROR(_xlfn.XLOOKUP(_xlpm.cd,CostData!$U$22:$U$1000,CostData!$W$22:$W$1000,""),"")))</f>
        <v>F16S Gasket</v>
      </c>
      <c r="U628" s="1" t="str">
        <f>IF($S628="","",IFERROR(_xlfn.XLOOKUP($S628,CostData!$U$22:$U$1000,CostData!$AA$22:$AA$1000,""),""))</f>
        <v>Ft</v>
      </c>
      <c r="V628" s="1">
        <f>IF($V$62="","",$V$62)</f>
        <v>180</v>
      </c>
      <c r="W628" s="400" t="str" cm="1">
        <f t="array" ref="W62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9" spans="1:23" x14ac:dyDescent="0.25">
      <c r="A629" s="275" t="s">
        <v>254</v>
      </c>
      <c r="C629" s="370" t="s">
        <v>1935</v>
      </c>
      <c r="P629" s="1" t="str" cm="1">
        <f t="array" ref="P6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9" s="1" t="str">
        <f>IF($S629="","",IFERROR(_xlfn.XLOOKUP($S629,CostData!$U$22:$U$1000,CostData!$T$22:$T$1000,""),""))</f>
        <v>Gasket</v>
      </c>
      <c r="R629" s="16" t="s">
        <v>1930</v>
      </c>
      <c r="S629" s="24">
        <v>6154</v>
      </c>
      <c r="T629" s="1" t="str" cm="1">
        <f t="array" ref="T629">_xlfn.LET(_xlpm.cd,INDEX($S:$S,ROW()),IF(_xlpm.cd="","",IFERROR(_xlfn.XLOOKUP(_xlpm.cd,CostData!$U$22:$U$1000,CostData!$W$22:$W$1000,""),"")))</f>
        <v>6154 Gasket</v>
      </c>
      <c r="U629" s="1" t="str">
        <f>IF($S629="","",IFERROR(_xlfn.XLOOKUP($S629,CostData!$U$22:$U$1000,CostData!$AA$22:$AA$1000,""),""))</f>
        <v>Ft</v>
      </c>
      <c r="V629" s="1">
        <f>IF($V$62="","",$V$62)</f>
        <v>180</v>
      </c>
      <c r="W629" s="400" t="str" cm="1">
        <f t="array" ref="W62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0" spans="1:23" x14ac:dyDescent="0.25">
      <c r="A630" s="412" t="s">
        <v>254</v>
      </c>
      <c r="B630" s="399"/>
      <c r="C630" s="399" t="s">
        <v>1935</v>
      </c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401"/>
      <c r="Q630" s="401" t="str">
        <f>IF($S630="","",IFERROR(_xlfn.XLOOKUP($S630,CostData!$U$22:$U$1000,CostData!$T$22:$T$1000,""),""))</f>
        <v>Gasket</v>
      </c>
      <c r="R630" s="429" t="s">
        <v>1933</v>
      </c>
      <c r="S630" s="418">
        <v>6154</v>
      </c>
      <c r="T630" s="401" t="str" cm="1">
        <f t="array" ref="T630">_xlfn.LET(_xlpm.cd,INDEX($S:$S,ROW()),IF(_xlpm.cd="","",IFERROR(_xlfn.XLOOKUP(_xlpm.cd,CostData!$U$22:$U$1000,CostData!$W$22:$W$1000,""),"")))</f>
        <v>6154 Gasket</v>
      </c>
      <c r="U630" s="401" t="str">
        <f>IF($S630="","",IFERROR(_xlfn.XLOOKUP($S630,CostData!$U$22:$U$1000,CostData!$AA$22:$AA$1000,""),""))</f>
        <v>Ft</v>
      </c>
      <c r="V630" s="401">
        <f>IF(SUM($V$63:$V$64)=0,"",SUM($V$63:$V$64)*2)</f>
        <v>120</v>
      </c>
      <c r="W630" s="413" t="str" cm="1">
        <f t="array" ref="W63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1" spans="1:23" x14ac:dyDescent="0.25">
      <c r="A631" s="419" t="s">
        <v>254</v>
      </c>
      <c r="B631" s="415" t="s">
        <v>1846</v>
      </c>
      <c r="C631" s="415" t="s">
        <v>1935</v>
      </c>
      <c r="D631" s="415" t="s">
        <v>1792</v>
      </c>
      <c r="E631" s="415" t="str" cm="1">
        <f t="array" ref="E631:E640">IFERROR(INDEX(_xlfn._xlws.FILTER(CostData!$P$3:$P$12,CostData!$P$3:$P$12&lt;&gt;""),_xlfn.SEQUENCE(10)),"")</f>
        <v>Default</v>
      </c>
      <c r="F631" s="415" t="str">
        <f>"▼ [Variant]"</f>
        <v>▼ [Variant]</v>
      </c>
      <c r="G631" s="415" t="str">
        <f>"▼ [Fix - Casement]"</f>
        <v>▼ [Fix - Casement]</v>
      </c>
      <c r="H631" s="415" t="str">
        <f>"▼ [Hung Window - Casement]"</f>
        <v>▼ [Hung Window - Casement]</v>
      </c>
      <c r="I631" s="415" t="s">
        <v>1858</v>
      </c>
      <c r="J631" s="415" t="s">
        <v>1859</v>
      </c>
      <c r="K631" s="415" t="s">
        <v>1860</v>
      </c>
      <c r="L631" s="415" t="s">
        <v>1861</v>
      </c>
      <c r="M631" s="420">
        <v>0.54649999999999999</v>
      </c>
      <c r="N631" s="415">
        <v>609.6</v>
      </c>
      <c r="O631" s="415"/>
      <c r="P631" s="409" t="str" cm="1">
        <f t="array" ref="P6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1" s="409" t="str" cm="1">
        <f t="array" ref="Q631">_xlfn.LET(_xlpm.cd,INDEX($S:$S,ROW()),IF(_xlpm.cd="","",IFERROR(_xlfn.XLOOKUP(_xlpm.cd,CostData!$C$22:$C$1000,CostData!$B$22:$B$1000,""),"")))</f>
        <v>Aluminium</v>
      </c>
      <c r="R631" s="428" t="s">
        <v>1812</v>
      </c>
      <c r="S631" s="417" t="s">
        <v>1926</v>
      </c>
      <c r="T631" s="409" t="str" cm="1">
        <f t="array" ref="T631">_xlfn.LET(_xlpm.cd,INDEX($S:$S,ROW()),IF(_xlpm.cd="","",IFERROR(_xlfn.XLOOKUP(_xlpm.cd,CostData!$C$22:$C$1000,CostData!$E$22:$E$1000,""),"")))</f>
        <v>Outer</v>
      </c>
      <c r="U631" s="409" t="s">
        <v>103</v>
      </c>
      <c r="V63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31" s="421" t="str" cm="1">
        <f t="array" ref="W6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2" spans="1:23" x14ac:dyDescent="0.25">
      <c r="A632" s="275" t="s">
        <v>254</v>
      </c>
      <c r="B632" s="370" t="s">
        <v>1848</v>
      </c>
      <c r="C632" s="370" t="s">
        <v>1935</v>
      </c>
      <c r="D632" s="370" t="s">
        <v>1814</v>
      </c>
      <c r="E632" s="370" t="str">
        <v>Z-Louvre Blade - 2"</v>
      </c>
      <c r="G632" s="370" t="s">
        <v>1866</v>
      </c>
      <c r="H632" s="370" t="s">
        <v>1866</v>
      </c>
      <c r="P632" s="1" t="str" cm="1">
        <f t="array" ref="P6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2" s="1" t="str" cm="1">
        <f t="array" ref="Q632">_xlfn.LET(_xlpm.cd,INDEX($S:$S,ROW()),IF(_xlpm.cd="","",IFERROR(_xlfn.XLOOKUP(_xlpm.cd,CostData!$C$22:$C$1000,CostData!$B$22:$B$1000,""),"")))</f>
        <v>Aluminium</v>
      </c>
      <c r="R632" s="16" t="s">
        <v>1849</v>
      </c>
      <c r="S632" s="24" t="s">
        <v>1927</v>
      </c>
      <c r="T632" s="1" t="str" cm="1">
        <f t="array" ref="T632">_xlfn.LET(_xlpm.cd,INDEX($S:$S,ROW()),IF(_xlpm.cd="","",IFERROR(_xlfn.XLOOKUP(_xlpm.cd,CostData!$C$22:$C$1000,CostData!$E$22:$E$1000,""),"")))</f>
        <v>Inner</v>
      </c>
      <c r="U632" s="1" t="s">
        <v>103</v>
      </c>
      <c r="V632" s="1" cm="1">
        <f t="array" ref="V63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32" s="400" t="str" cm="1">
        <f t="array" ref="W6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3" spans="1:23" x14ac:dyDescent="0.25">
      <c r="A633" s="275" t="s">
        <v>254</v>
      </c>
      <c r="B633" s="370" t="s">
        <v>382</v>
      </c>
      <c r="C633" s="370" t="s">
        <v>1935</v>
      </c>
      <c r="D633" s="370" t="s">
        <v>1793</v>
      </c>
      <c r="E633" s="370" t="str">
        <v>Z-Louvre Blade - 5"</v>
      </c>
      <c r="G633" s="370" t="s">
        <v>1867</v>
      </c>
      <c r="H633" s="370" t="s">
        <v>1867</v>
      </c>
      <c r="P633" s="1" t="str" cm="1">
        <f t="array" ref="P6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3" s="1" t="str" cm="1">
        <f t="array" ref="Q633">_xlfn.LET(_xlpm.cd,INDEX($S:$S,ROW()),IF(_xlpm.cd="","",IFERROR(_xlfn.XLOOKUP(_xlpm.cd,CostData!$C$22:$C$1000,CostData!$B$22:$B$1000,""),"")))</f>
        <v>Aluminium</v>
      </c>
      <c r="R633" s="16" t="s">
        <v>1863</v>
      </c>
      <c r="S633" s="24" t="s">
        <v>1928</v>
      </c>
      <c r="T633" s="1" t="str" cm="1">
        <f t="array" ref="T633">_xlfn.LET(_xlpm.cd,INDEX($S:$S,ROW()),IF(_xlpm.cd="","",IFERROR(_xlfn.XLOOKUP(_xlpm.cd,CostData!$C$22:$C$1000,CostData!$E$22:$E$1000,""),"")))</f>
        <v>Mullion</v>
      </c>
      <c r="U633" s="1" t="s">
        <v>103</v>
      </c>
      <c r="V63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33" s="400" t="str" cm="1">
        <f t="array" ref="W6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4" spans="1:23" x14ac:dyDescent="0.25">
      <c r="A634" s="275" t="s">
        <v>254</v>
      </c>
      <c r="B634" s="370" t="s">
        <v>1847</v>
      </c>
      <c r="C634" s="370" t="s">
        <v>1935</v>
      </c>
      <c r="D634" s="370" t="s">
        <v>1815</v>
      </c>
      <c r="E634" s="370" t="str">
        <v/>
      </c>
      <c r="G634" s="370" t="s">
        <v>1868</v>
      </c>
      <c r="H634" s="370" t="s">
        <v>1868</v>
      </c>
      <c r="P634" s="1" t="str" cm="1">
        <f t="array" ref="P6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4" s="1" t="str" cm="1">
        <f t="array" ref="Q634">_xlfn.LET(_xlpm.cd,INDEX($S:$S,ROW()),IF(_xlpm.cd="","",IFERROR(_xlfn.XLOOKUP(_xlpm.cd,CostData!$C$22:$C$1000,CostData!$B$22:$B$1000,""),"")))</f>
        <v>Aluminium</v>
      </c>
      <c r="R634" s="16" t="s">
        <v>1862</v>
      </c>
      <c r="S634" s="24" t="s">
        <v>1928</v>
      </c>
      <c r="T634" s="1" t="str" cm="1">
        <f t="array" ref="T634">_xlfn.LET(_xlpm.cd,INDEX($S:$S,ROW()),IF(_xlpm.cd="","",IFERROR(_xlfn.XLOOKUP(_xlpm.cd,CostData!$C$22:$C$1000,CostData!$E$22:$E$1000,""),"")))</f>
        <v>Mullion</v>
      </c>
      <c r="U634" s="1" t="s">
        <v>103</v>
      </c>
      <c r="V63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34" s="400" t="str" cm="1">
        <f t="array" ref="W6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5" spans="1:23" x14ac:dyDescent="0.25">
      <c r="A635" s="275" t="s">
        <v>254</v>
      </c>
      <c r="C635" s="370" t="s">
        <v>1935</v>
      </c>
      <c r="E635" s="370" t="str">
        <v/>
      </c>
      <c r="G635" s="370" t="s">
        <v>1869</v>
      </c>
      <c r="H635" s="370" t="s">
        <v>1869</v>
      </c>
      <c r="P635" s="1" t="str" cm="1">
        <f t="array" ref="P6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5" s="1" t="str" cm="1">
        <f t="array" ref="Q635">_xlfn.LET(_xlpm.cd,INDEX($S:$S,ROW()),IF(_xlpm.cd="","",IFERROR(_xlfn.XLOOKUP(_xlpm.cd,CostData!$C$22:$C$1000,CostData!$B$22:$B$1000,""),"")))</f>
        <v/>
      </c>
      <c r="T635" s="1" t="str" cm="1">
        <f t="array" ref="T635">_xlfn.LET(_xlpm.cd,INDEX($S:$S,ROW()),IF(_xlpm.cd="","",IFERROR(_xlfn.XLOOKUP(_xlpm.cd,CostData!$C$22:$C$1000,CostData!$E$22:$E$1000,""),"")))</f>
        <v/>
      </c>
      <c r="V635" s="1" t="str" cm="1">
        <f t="array" ref="V635">IFERROR(_xlfn.XLOOKUP(1,(TRIM(CostData!$B$22:$B$1000)="Aluminium")*(TRIM(CostData!$C$22:$C$1000)="CWS")*(TRIM(CostData!$E$22:$E$1000)=TRIM($S635)),_xlfn.SWITCH(TRIM(Enginuity!$A$19),"N/A",CostData!$H$22:$H$1000,"M/B",CostData!$I$22:$I$1000,"P/C",CostData!$J$22:$J$1000,"W/G",CostData!$K$22:$K$1000,""),""),"")</f>
        <v/>
      </c>
      <c r="W635" s="400" t="str" cm="1">
        <f t="array" ref="W6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6" spans="1:23" x14ac:dyDescent="0.25">
      <c r="A636" s="275" t="s">
        <v>254</v>
      </c>
      <c r="C636" s="370" t="s">
        <v>1935</v>
      </c>
      <c r="E636" s="370" t="str">
        <v/>
      </c>
      <c r="G636" s="370" t="s">
        <v>1870</v>
      </c>
      <c r="H636" s="370" t="s">
        <v>1870</v>
      </c>
      <c r="P636" s="1" t="str" cm="1">
        <f t="array" ref="P6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6" s="1" t="str" cm="1">
        <f t="array" ref="Q636">_xlfn.LET(_xlpm.cd,INDEX($S:$S,ROW()),IF(_xlpm.cd="","",IFERROR(_xlfn.XLOOKUP(_xlpm.cd,CostData!$C$22:$C$1000,CostData!$B$22:$B$1000,""),"")))</f>
        <v/>
      </c>
      <c r="R636" s="16" t="str">
        <f>IF(Enginuity!$A$22="","",Enginuity!$A$22&amp;" Fix Window")</f>
        <v>▼ [Lattice] Fix Window</v>
      </c>
      <c r="T636" s="1" t="str" cm="1">
        <f t="array" ref="T636">_xlfn.LET(_xlpm.cd,INDEX($S:$S,ROW()),IF(_xlpm.cd="","",IFERROR(_xlfn.XLOOKUP(_xlpm.cd,CostData!$C$22:$C$1000,CostData!$E$22:$E$1000,""),"")))</f>
        <v/>
      </c>
      <c r="U636" s="1" t="s">
        <v>176</v>
      </c>
      <c r="V636" s="1">
        <v>1</v>
      </c>
      <c r="W636" s="400" t="str">
        <f>IF(Enginuity!$A$22&lt;&gt;"",$W$4,"")</f>
        <v/>
      </c>
    </row>
    <row r="637" spans="1:23" x14ac:dyDescent="0.25">
      <c r="A637" s="275" t="s">
        <v>254</v>
      </c>
      <c r="C637" s="370" t="s">
        <v>1935</v>
      </c>
      <c r="E637" s="370" t="str">
        <v/>
      </c>
      <c r="G637" s="370" t="s">
        <v>1871</v>
      </c>
      <c r="H637" s="370" t="s">
        <v>1871</v>
      </c>
      <c r="P637" s="1" t="str" cm="1">
        <f t="array" ref="P6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7" s="1" t="str" cm="1">
        <f t="array" ref="Q637">_xlfn.LET(_xlpm.cd,INDEX($S:$S,ROW()),IF(_xlpm.cd="","",IFERROR(_xlfn.XLOOKUP(_xlpm.cd,CostData!$C$22:$C$1000,CostData!$B$22:$B$1000,""),"")))</f>
        <v/>
      </c>
      <c r="T637" s="1" t="str" cm="1">
        <f t="array" ref="T637">_xlfn.LET(_xlpm.cd,INDEX($S:$S,ROW()),IF(_xlpm.cd="","",IFERROR(_xlfn.XLOOKUP(_xlpm.cd,CostData!$C$22:$C$1000,CostData!$E$22:$E$1000,""),"")))</f>
        <v/>
      </c>
      <c r="V637" s="1" t="str" cm="1">
        <f t="array" ref="V637">IFERROR(_xlfn.XLOOKUP(1,(TRIM(CostData!$B$22:$B$1000)="Aluminium")*(TRIM(CostData!$C$22:$C$1000)="CWS")*(TRIM(CostData!$E$22:$E$1000)=TRIM($S637)),_xlfn.SWITCH(TRIM(Enginuity!$A$19),"N/A",CostData!$H$22:$H$1000,"M/B",CostData!$I$22:$I$1000,"P/C",CostData!$J$22:$J$1000,"W/G",CostData!$K$22:$K$1000,""),""),"")</f>
        <v/>
      </c>
      <c r="W637" s="400" t="str" cm="1">
        <f t="array" ref="W63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8" spans="1:23" x14ac:dyDescent="0.25">
      <c r="A638" s="275" t="s">
        <v>254</v>
      </c>
      <c r="C638" s="370" t="s">
        <v>1935</v>
      </c>
      <c r="E638" s="370" t="str">
        <v/>
      </c>
      <c r="G638" s="370" t="s">
        <v>1872</v>
      </c>
      <c r="H638" s="370" t="s">
        <v>1872</v>
      </c>
      <c r="P638" s="1" t="str" cm="1">
        <f t="array" ref="P6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8" s="1" t="str" cm="1">
        <f t="array" ref="Q638">_xlfn.LET(_xlpm.cd,INDEX($S:$S,ROW()),IF(_xlpm.cd="","",IFERROR(_xlfn.XLOOKUP(_xlpm.cd,CostData!$C$22:$C$1000,CostData!$B$22:$B$1000,""),"")))</f>
        <v/>
      </c>
      <c r="T638" s="1" t="str" cm="1">
        <f t="array" ref="T638">_xlfn.LET(_xlpm.cd,INDEX($S:$S,ROW()),IF(_xlpm.cd="","",IFERROR(_xlfn.XLOOKUP(_xlpm.cd,CostData!$C$22:$C$1000,CostData!$E$22:$E$1000,""),"")))</f>
        <v/>
      </c>
      <c r="V638" s="1" t="str" cm="1">
        <f t="array" ref="V638">IFERROR(_xlfn.XLOOKUP(1,(TRIM(CostData!$B$22:$B$1000)="Aluminium")*(TRIM(CostData!$C$22:$C$1000)="CWS")*(TRIM(CostData!$E$22:$E$1000)=TRIM($S638)),_xlfn.SWITCH(TRIM(Enginuity!$A$19),"N/A",CostData!$H$22:$H$1000,"M/B",CostData!$I$22:$I$1000,"P/C",CostData!$J$22:$J$1000,"W/G",CostData!$K$22:$K$1000,""),""),"")</f>
        <v/>
      </c>
      <c r="W638" s="400" t="str" cm="1">
        <f t="array" ref="W6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9" spans="1:23" x14ac:dyDescent="0.25">
      <c r="A639" s="275" t="s">
        <v>254</v>
      </c>
      <c r="C639" s="370" t="s">
        <v>1935</v>
      </c>
      <c r="E639" s="370" t="str">
        <v/>
      </c>
      <c r="G639" s="370" t="s">
        <v>1873</v>
      </c>
      <c r="H639" s="370" t="s">
        <v>1873</v>
      </c>
      <c r="P639" s="1" t="str" cm="1">
        <f t="array" ref="P6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9" s="1" t="str" cm="1">
        <f t="array" ref="Q639">_xlfn.LET(_xlpm.cd,INDEX($S:$S,ROW()),IF(_xlpm.cd="","",IFERROR(_xlfn.XLOOKUP(_xlpm.cd,CostData!$C$22:$C$1000,CostData!$B$22:$B$1000,""),"")))</f>
        <v/>
      </c>
      <c r="T639" s="1" t="str" cm="1">
        <f t="array" ref="T639">_xlfn.LET(_xlpm.cd,INDEX($S:$S,ROW()),IF(_xlpm.cd="","",IFERROR(_xlfn.XLOOKUP(_xlpm.cd,CostData!$C$22:$C$1000,CostData!$E$22:$E$1000,""),"")))</f>
        <v/>
      </c>
      <c r="V639" s="1" t="str" cm="1">
        <f t="array" ref="V639">IFERROR(_xlfn.XLOOKUP(1,(TRIM(CostData!$B$22:$B$1000)="Aluminium")*(TRIM(CostData!$C$22:$C$1000)="CWS")*(TRIM(CostData!$E$22:$E$1000)=TRIM($S639)),_xlfn.SWITCH(TRIM(Enginuity!$A$19),"N/A",CostData!$H$22:$H$1000,"M/B",CostData!$I$22:$I$1000,"P/C",CostData!$J$22:$J$1000,"W/G",CostData!$K$22:$K$1000,""),""),"")</f>
        <v/>
      </c>
      <c r="W639" s="400" t="str" cm="1">
        <f t="array" ref="W6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0" spans="1:23" x14ac:dyDescent="0.25">
      <c r="A640" s="275" t="s">
        <v>254</v>
      </c>
      <c r="C640" s="370" t="s">
        <v>1935</v>
      </c>
      <c r="E640" s="370" t="str">
        <v/>
      </c>
      <c r="P640" s="1" t="str" cm="1">
        <f t="array" ref="P6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0" s="1" t="str" cm="1">
        <f t="array" ref="Q640">_xlfn.LET(_xlpm.cd,INDEX($S:$S,ROW()),IF(_xlpm.cd="","",IFERROR(_xlfn.XLOOKUP(_xlpm.cd,CostData!$C$22:$C$1000,CostData!$B$22:$B$1000,""),"")))</f>
        <v/>
      </c>
      <c r="T640" s="1" t="str" cm="1">
        <f t="array" ref="T640">_xlfn.LET(_xlpm.cd,INDEX($S:$S,ROW()),IF(_xlpm.cd="","",IFERROR(_xlfn.XLOOKUP(_xlpm.cd,CostData!$C$22:$C$1000,CostData!$E$22:$E$1000,""),"")))</f>
        <v/>
      </c>
      <c r="V640" s="1" t="str" cm="1">
        <f t="array" ref="V640">IFERROR(_xlfn.XLOOKUP(1,(TRIM(CostData!$B$22:$B$1000)="Aluminium")*(TRIM(CostData!$C$22:$C$1000)="CWS")*(TRIM(CostData!$E$22:$E$1000)=TRIM($S640)),_xlfn.SWITCH(TRIM(Enginuity!$A$19),"N/A",CostData!$H$22:$H$1000,"M/B",CostData!$I$22:$I$1000,"P/C",CostData!$J$22:$J$1000,"W/G",CostData!$K$22:$K$1000,""),""),"")</f>
        <v/>
      </c>
      <c r="W640" s="400" t="str" cm="1">
        <f t="array" ref="W6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1" spans="1:23" x14ac:dyDescent="0.25">
      <c r="A641" s="275" t="s">
        <v>254</v>
      </c>
      <c r="C641" s="370" t="s">
        <v>1935</v>
      </c>
      <c r="P641" s="1" t="str" cm="1">
        <f t="array" ref="P6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1" s="1" t="str" cm="1">
        <f t="array" ref="Q641">_xlfn.LET(_xlpm.cd,INDEX($S:$S,ROW()),IF(_xlpm.cd="","",IFERROR(_xlfn.XLOOKUP(_xlpm.cd,CostData!$C$22:$C$1000,CostData!$B$22:$B$1000,""),"")))</f>
        <v/>
      </c>
      <c r="T641" s="1" t="str" cm="1">
        <f t="array" ref="T641">_xlfn.LET(_xlpm.cd,INDEX($S:$S,ROW()),IF(_xlpm.cd="","",IFERROR(_xlfn.XLOOKUP(_xlpm.cd,CostData!$C$22:$C$1000,CostData!$E$22:$E$1000,""),"")))</f>
        <v/>
      </c>
      <c r="V641" s="1" t="str" cm="1">
        <f t="array" ref="V641">IFERROR(_xlfn.XLOOKUP(1,(TRIM(CostData!$B$22:$B$1000)="Aluminium")*(TRIM(CostData!$C$22:$C$1000)="CWS")*(TRIM(CostData!$E$22:$E$1000)=TRIM($S641)),_xlfn.SWITCH(TRIM(Enginuity!$A$19),"N/A",CostData!$H$22:$H$1000,"M/B",CostData!$I$22:$I$1000,"P/C",CostData!$J$22:$J$1000,"W/G",CostData!$K$22:$K$1000,""),""),"")</f>
        <v/>
      </c>
      <c r="W641" s="400" t="str" cm="1">
        <f t="array" ref="W6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2" spans="1:23" x14ac:dyDescent="0.25">
      <c r="A642" s="275" t="s">
        <v>254</v>
      </c>
      <c r="C642" s="370" t="s">
        <v>1935</v>
      </c>
      <c r="P642" s="1" t="str" cm="1">
        <f t="array" ref="P6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2" s="1" t="str" cm="1">
        <f t="array" ref="Q642">_xlfn.LET(_xlpm.cd,INDEX($S:$S,ROW()),IF(_xlpm.cd="","",IFERROR(_xlfn.XLOOKUP(_xlpm.cd,CostData!$C$22:$C$1000,CostData!$B$22:$B$1000,""),"")))</f>
        <v/>
      </c>
      <c r="T642" s="1" t="str" cm="1">
        <f t="array" ref="T642">_xlfn.LET(_xlpm.cd,INDEX($S:$S,ROW()),IF(_xlpm.cd="","",IFERROR(_xlfn.XLOOKUP(_xlpm.cd,CostData!$C$22:$C$1000,CostData!$E$22:$E$1000,""),"")))</f>
        <v/>
      </c>
      <c r="V642" s="1" t="str" cm="1">
        <f t="array" ref="V642">IFERROR(_xlfn.XLOOKUP(1,(TRIM(CostData!$B$22:$B$1000)="Aluminium")*(TRIM(CostData!$C$22:$C$1000)="CWS")*(TRIM(CostData!$E$22:$E$1000)=TRIM($S642)),_xlfn.SWITCH(TRIM(Enginuity!$A$19),"N/A",CostData!$H$22:$H$1000,"M/B",CostData!$I$22:$I$1000,"P/C",CostData!$J$22:$J$1000,"W/G",CostData!$K$22:$K$1000,""),""),"")</f>
        <v/>
      </c>
      <c r="W642" s="400" t="str" cm="1">
        <f t="array" ref="W6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3" spans="1:23" x14ac:dyDescent="0.25">
      <c r="A643" s="275" t="s">
        <v>254</v>
      </c>
      <c r="C643" s="370" t="s">
        <v>1935</v>
      </c>
      <c r="P643" s="1" t="str" cm="1">
        <f t="array" ref="P6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3" s="1" t="str" cm="1">
        <f t="array" ref="Q643">_xlfn.LET(_xlpm.cd,INDEX($S:$S,ROW()),IF(_xlpm.cd="","",IFERROR(_xlfn.XLOOKUP(_xlpm.cd,CostData!$C$22:$C$1000,CostData!$B$22:$B$1000,""),"")))</f>
        <v/>
      </c>
      <c r="T643" s="1" t="str" cm="1">
        <f t="array" ref="T643">_xlfn.LET(_xlpm.cd,INDEX($S:$S,ROW()),IF(_xlpm.cd="","",IFERROR(_xlfn.XLOOKUP(_xlpm.cd,CostData!$C$22:$C$1000,CostData!$E$22:$E$1000,""),"")))</f>
        <v/>
      </c>
      <c r="V643" s="1" t="str" cm="1">
        <f t="array" ref="V643">IFERROR(_xlfn.XLOOKUP(1,(TRIM(CostData!$B$22:$B$1000)="Aluminium")*(TRIM(CostData!$C$22:$C$1000)="CWS")*(TRIM(CostData!$E$22:$E$1000)=TRIM($S643)),_xlfn.SWITCH(TRIM(Enginuity!$A$19),"N/A",CostData!$H$22:$H$1000,"M/B",CostData!$I$22:$I$1000,"P/C",CostData!$J$22:$J$1000,"W/G",CostData!$K$22:$K$1000,""),""),"")</f>
        <v/>
      </c>
      <c r="W643" s="400" t="str" cm="1">
        <f t="array" ref="W6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4" spans="1:23" x14ac:dyDescent="0.25">
      <c r="A644" s="275" t="s">
        <v>254</v>
      </c>
      <c r="C644" s="370" t="s">
        <v>1935</v>
      </c>
      <c r="P644" s="1" t="str" cm="1">
        <f t="array" ref="P6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4" s="1" t="str" cm="1">
        <f t="array" ref="Q644">_xlfn.LET(_xlpm.cd,INDEX($S:$S,ROW()),IF(_xlpm.cd="","",IFERROR(_xlfn.XLOOKUP(_xlpm.cd,CostData!$C$22:$C$1000,CostData!$B$22:$B$1000,""),"")))</f>
        <v/>
      </c>
      <c r="T644" s="1" t="str" cm="1">
        <f t="array" ref="T644">_xlfn.LET(_xlpm.cd,INDEX($S:$S,ROW()),IF(_xlpm.cd="","",IFERROR(_xlfn.XLOOKUP(_xlpm.cd,CostData!$C$22:$C$1000,CostData!$E$22:$E$1000,""),"")))</f>
        <v/>
      </c>
      <c r="V644" s="1" t="str" cm="1">
        <f t="array" ref="V644">IFERROR(_xlfn.XLOOKUP(1,(TRIM(CostData!$B$22:$B$1000)="Aluminium")*(TRIM(CostData!$C$22:$C$1000)="CWS")*(TRIM(CostData!$E$22:$E$1000)=TRIM($S644)),_xlfn.SWITCH(TRIM(Enginuity!$A$19),"N/A",CostData!$H$22:$H$1000,"M/B",CostData!$I$22:$I$1000,"P/C",CostData!$J$22:$J$1000,"W/G",CostData!$K$22:$K$1000,""),""),"")</f>
        <v/>
      </c>
      <c r="W644" s="400" t="str" cm="1">
        <f t="array" ref="W6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5" spans="1:23" x14ac:dyDescent="0.25">
      <c r="A645" s="275" t="s">
        <v>254</v>
      </c>
      <c r="C645" s="370" t="s">
        <v>1935</v>
      </c>
      <c r="P645" s="1" t="str" cm="1">
        <f t="array" ref="P6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5" s="1" t="str" cm="1">
        <f t="array" ref="Q645">_xlfn.LET(_xlpm.cd,INDEX($S:$S,ROW()),IF(_xlpm.cd="","",IFERROR(_xlfn.XLOOKUP(_xlpm.cd,CostData!$C$22:$C$1000,CostData!$B$22:$B$1000,""),"")))</f>
        <v/>
      </c>
      <c r="T645" s="1" t="str" cm="1">
        <f t="array" ref="T645">_xlfn.LET(_xlpm.cd,INDEX($S:$S,ROW()),IF(_xlpm.cd="","",IFERROR(_xlfn.XLOOKUP(_xlpm.cd,CostData!$C$22:$C$1000,CostData!$E$22:$E$1000,""),"")))</f>
        <v/>
      </c>
      <c r="V645" s="1" t="str" cm="1">
        <f t="array" ref="V645">IFERROR(_xlfn.XLOOKUP(1,(TRIM(CostData!$B$22:$B$1000)="Aluminium")*(TRIM(CostData!$C$22:$C$1000)="CWS")*(TRIM(CostData!$E$22:$E$1000)=TRIM($S645)),_xlfn.SWITCH(TRIM(Enginuity!$A$19),"N/A",CostData!$H$22:$H$1000,"M/B",CostData!$I$22:$I$1000,"P/C",CostData!$J$22:$J$1000,"W/G",CostData!$K$22:$K$1000,""),""),"")</f>
        <v/>
      </c>
      <c r="W645" s="400" t="str" cm="1">
        <f t="array" ref="W6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6" spans="1:23" x14ac:dyDescent="0.25">
      <c r="A646" s="275" t="s">
        <v>254</v>
      </c>
      <c r="C646" s="370" t="s">
        <v>1935</v>
      </c>
      <c r="P646" s="1" t="str" cm="1">
        <f t="array" ref="P6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6" s="1" t="str" cm="1">
        <f t="array" ref="Q646">_xlfn.LET(_xlpm.cd,INDEX($S:$S,ROW()),IF(_xlpm.cd="","",IFERROR(_xlfn.XLOOKUP(_xlpm.cd,CostData!$C$22:$C$1000,CostData!$B$22:$B$1000,""),"")))</f>
        <v/>
      </c>
      <c r="T646" s="1" t="str" cm="1">
        <f t="array" ref="T646">_xlfn.LET(_xlpm.cd,INDEX($S:$S,ROW()),IF(_xlpm.cd="","",IFERROR(_xlfn.XLOOKUP(_xlpm.cd,CostData!$C$22:$C$1000,CostData!$E$22:$E$1000,""),"")))</f>
        <v/>
      </c>
      <c r="V646" s="1" t="str" cm="1">
        <f t="array" ref="V646">IFERROR(_xlfn.XLOOKUP(1,(TRIM(CostData!$B$22:$B$1000)="Aluminium")*(TRIM(CostData!$C$22:$C$1000)="CWS")*(TRIM(CostData!$E$22:$E$1000)=TRIM($S646)),_xlfn.SWITCH(TRIM(Enginuity!$A$19),"N/A",CostData!$H$22:$H$1000,"M/B",CostData!$I$22:$I$1000,"P/C",CostData!$J$22:$J$1000,"W/G",CostData!$K$22:$K$1000,""),""),"")</f>
        <v/>
      </c>
      <c r="W646" s="400" t="str" cm="1">
        <f t="array" ref="W6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7" spans="1:23" x14ac:dyDescent="0.25">
      <c r="A647" s="275" t="s">
        <v>254</v>
      </c>
      <c r="C647" s="370" t="s">
        <v>1935</v>
      </c>
      <c r="P647" s="1" t="str" cm="1">
        <f t="array" ref="P6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7" s="1" t="s">
        <v>1833</v>
      </c>
      <c r="R647" s="16" t="str">
        <f>IF($T647="","","⬒ "&amp;$T647)</f>
        <v>⬒ Z-Louvre Blade - 5"</v>
      </c>
      <c r="T647" s="1" t="str">
        <f>IF(Enginuity!$A$20="","",Enginuity!$A$20)</f>
        <v>Z-Louvre Blade - 5"</v>
      </c>
      <c r="U647" s="1" t="s">
        <v>121</v>
      </c>
      <c r="V647" s="1">
        <f>IF(Enginuity!$B$9="","",Enginuity!$B$9)</f>
        <v>200</v>
      </c>
      <c r="W647" s="400">
        <f>IFERROR(INDEX(CostData!$Q$3:$Q$12,MATCH(TRIM(Enginuity!$A$20),CostData!$P$3:$P$12,0)),"")</f>
        <v>31.774000000000001</v>
      </c>
    </row>
    <row r="648" spans="1:23" x14ac:dyDescent="0.25">
      <c r="A648" s="275" t="s">
        <v>254</v>
      </c>
      <c r="C648" s="370" t="s">
        <v>1935</v>
      </c>
      <c r="P648" s="1" t="str" cm="1">
        <f t="array" ref="P6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8" s="1" t="str" cm="1">
        <f t="array" ref="V648">IFERROR(_xlfn.XLOOKUP(1,(TRIM(CostData!$B$22:$B$1000)="Aluminium")*(TRIM(CostData!$C$22:$C$1000)="CWS")*(TRIM(CostData!$E$22:$E$1000)=TRIM($S648)),_xlfn.SWITCH(TRIM(Enginuity!$A$19),"N/A",CostData!$H$22:$H$1000,"M/B",CostData!$I$22:$I$1000,"P/C",CostData!$J$22:$J$1000,"W/G",CostData!$K$22:$K$1000,""),""),"")</f>
        <v/>
      </c>
      <c r="W648" s="400" t="str" cm="1">
        <f t="array" ref="W648">IF(OR(TRIM(CalcEngine!$A648)&lt;&gt;TRIM(Enginuity!$A$1),TRIM(CalcEngine!$C648)&lt;&gt;TRIM(Enginuity!$A$18),CalcEngine!$V648="",CalcEngine!$V648=0),"",IFERROR(_xlfn.XLOOKUP(1,(TRIM(CostData!$B$22:$B$1000)="Aluminium")*(TRIM(CostData!$C$22:$C$1000)="CWS")*(TRIM(CostData!$E$22:$E$1000)=TRIM(CalcEngine!$T648)),_xlfn.SWITCH(TRIM(Enginuity!$A$19),"N/A",CostData!$H$22:$H$1000,"M/B",CostData!$I$22:$I$1000,"P/C",CostData!$J$22:$J$1000,"W/G",CostData!$K$22:$K$1000,""),""),""))</f>
        <v/>
      </c>
    </row>
    <row r="649" spans="1:23" x14ac:dyDescent="0.25">
      <c r="A649" s="275" t="s">
        <v>254</v>
      </c>
      <c r="C649" s="370" t="s">
        <v>1935</v>
      </c>
      <c r="P649" s="1" t="str" cm="1">
        <f t="array" ref="P6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9" s="1" t="str" cm="1">
        <f t="array" ref="V649">IFERROR(_xlfn.XLOOKUP(1,(TRIM(CostData!$B$22:$B$1000)="Aluminium")*(TRIM(CostData!$C$22:$C$1000)="CWS")*(TRIM(CostData!$E$22:$E$1000)=TRIM($S649)),_xlfn.SWITCH(TRIM(Enginuity!$A$19),"N/A",CostData!$H$22:$H$1000,"M/B",CostData!$I$22:$I$1000,"P/C",CostData!$J$22:$J$1000,"W/G",CostData!$K$22:$K$1000,""),""),"")</f>
        <v/>
      </c>
      <c r="W649" s="400" t="str" cm="1">
        <f t="array" ref="W649">IF(OR(TRIM(CalcEngine!$A649)&lt;&gt;TRIM(Enginuity!$A$1),TRIM(CalcEngine!$C649)&lt;&gt;TRIM(Enginuity!$A$18),CalcEngine!$V649="",CalcEngine!$V649=0),"",IFERROR(_xlfn.XLOOKUP(1,(TRIM(CostData!$B$22:$B$1000)="Aluminium")*(TRIM(CostData!$C$22:$C$1000)="CWS")*(TRIM(CostData!$E$22:$E$1000)=TRIM(CalcEngine!$T649)),_xlfn.SWITCH(TRIM(Enginuity!$A$19),"N/A",CostData!$H$22:$H$1000,"M/B",CostData!$I$22:$I$1000,"P/C",CostData!$J$22:$J$1000,"W/G",CostData!$K$22:$K$1000,""),""),""))</f>
        <v/>
      </c>
    </row>
    <row r="650" spans="1:23" x14ac:dyDescent="0.25">
      <c r="A650" s="275" t="s">
        <v>254</v>
      </c>
      <c r="C650" s="370" t="s">
        <v>1935</v>
      </c>
      <c r="P650" s="1" t="str" cm="1">
        <f t="array" ref="P6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0" s="1" t="str" cm="1">
        <f t="array" ref="V650">IFERROR(_xlfn.XLOOKUP(1,(TRIM(CostData!$B$22:$B$1000)="Aluminium")*(TRIM(CostData!$C$22:$C$1000)="CWS")*(TRIM(CostData!$E$22:$E$1000)=TRIM($S650)),_xlfn.SWITCH(TRIM(Enginuity!$A$19),"N/A",CostData!$H$22:$H$1000,"M/B",CostData!$I$22:$I$1000,"P/C",CostData!$J$22:$J$1000,"W/G",CostData!$K$22:$K$1000,""),""),"")</f>
        <v/>
      </c>
      <c r="W650" s="400" t="str" cm="1">
        <f t="array" ref="W650">IF(OR(TRIM(CalcEngine!$A650)&lt;&gt;TRIM(Enginuity!$A$1),TRIM(CalcEngine!$C650)&lt;&gt;TRIM(Enginuity!$A$18),CalcEngine!$V650="",CalcEngine!$V650=0),"",IFERROR(_xlfn.XLOOKUP(1,(TRIM(CostData!$B$22:$B$1000)="Aluminium")*(TRIM(CostData!$C$22:$C$1000)="CWS")*(TRIM(CostData!$E$22:$E$1000)=TRIM(CalcEngine!$T650)),_xlfn.SWITCH(TRIM(Enginuity!$A$19),"N/A",CostData!$H$22:$H$1000,"M/B",CostData!$I$22:$I$1000,"P/C",CostData!$J$22:$J$1000,"W/G",CostData!$K$22:$K$1000,""),""),""))</f>
        <v/>
      </c>
    </row>
    <row r="651" spans="1:23" x14ac:dyDescent="0.25">
      <c r="A651" s="275" t="s">
        <v>254</v>
      </c>
      <c r="C651" s="370" t="s">
        <v>1935</v>
      </c>
      <c r="P651" s="1" t="str" cm="1">
        <f t="array" ref="P6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1" s="1" t="str" cm="1">
        <f t="array" ref="V651">IFERROR(_xlfn.XLOOKUP(1,(TRIM(CostData!$B$22:$B$1000)="Aluminium")*(TRIM(CostData!$C$22:$C$1000)="CWS")*(TRIM(CostData!$E$22:$E$1000)=TRIM($S651)),_xlfn.SWITCH(TRIM(Enginuity!$A$19),"N/A",CostData!$H$22:$H$1000,"M/B",CostData!$I$22:$I$1000,"P/C",CostData!$J$22:$J$1000,"W/G",CostData!$K$22:$K$1000,""),""),"")</f>
        <v/>
      </c>
      <c r="W651" s="400" t="str" cm="1">
        <f t="array" ref="W651">IF(OR(TRIM(CalcEngine!$A651)&lt;&gt;TRIM(Enginuity!$A$1),TRIM(CalcEngine!$C651)&lt;&gt;TRIM(Enginuity!$A$18),CalcEngine!$V651="",CalcEngine!$V651=0),"",IFERROR(_xlfn.XLOOKUP(1,(TRIM(CostData!$B$22:$B$1000)="Aluminium")*(TRIM(CostData!$C$22:$C$1000)="CWS")*(TRIM(CostData!$E$22:$E$1000)=TRIM(CalcEngine!$T651)),_xlfn.SWITCH(TRIM(Enginuity!$A$19),"N/A",CostData!$H$22:$H$1000,"M/B",CostData!$I$22:$I$1000,"P/C",CostData!$J$22:$J$1000,"W/G",CostData!$K$22:$K$1000,""),""),""))</f>
        <v/>
      </c>
    </row>
    <row r="652" spans="1:23" x14ac:dyDescent="0.25">
      <c r="A652" s="275" t="s">
        <v>254</v>
      </c>
      <c r="C652" s="370" t="s">
        <v>1935</v>
      </c>
      <c r="P652" s="1" t="str" cm="1">
        <f t="array" ref="P6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52" s="400"/>
    </row>
    <row r="653" spans="1:23" x14ac:dyDescent="0.25">
      <c r="A653" s="275" t="s">
        <v>254</v>
      </c>
      <c r="C653" s="370" t="s">
        <v>1935</v>
      </c>
      <c r="P653" s="1" t="str" cm="1">
        <f t="array" ref="P6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3" s="1" t="str">
        <f>IF($S653="","",IFERROR(_xlfn.XLOOKUP($S653,CostData!$U$22:$U$1000,CostData!$T$22:$T$1000,""),""))</f>
        <v>Hinge</v>
      </c>
      <c r="R653" s="16" t="str">
        <f>IF($S653="","",$T653)</f>
        <v>Hung Friction Stay</v>
      </c>
      <c r="S653" s="24" t="s">
        <v>1880</v>
      </c>
      <c r="T653" s="1" t="str" cm="1">
        <f t="array" ref="T653">_xlfn.LET(_xlpm.cd,INDEX($S:$S,ROW()),IF(_xlpm.cd="","",IFERROR(_xlfn.XLOOKUP(_xlpm.cd,CostData!$U$22:$U$1000,CostData!$W$22:$W$1000,""),"")))</f>
        <v>Hung Friction Stay</v>
      </c>
      <c r="U653" s="1" t="str">
        <f>IF($S653="","",IFERROR(_xlfn.XLOOKUP($S653,CostData!$U$22:$U$1000,CostData!$AA$22:$AA$1000,""),""))</f>
        <v>Pair</v>
      </c>
      <c r="V653" s="1" t="str" cm="1">
        <f t="array" ref="V65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53" s="400" t="str" cm="1">
        <f t="array" ref="W65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4" spans="1:23" x14ac:dyDescent="0.25">
      <c r="A654" s="275" t="s">
        <v>254</v>
      </c>
      <c r="C654" s="370" t="s">
        <v>1935</v>
      </c>
      <c r="P654" s="1" t="str" cm="1">
        <f t="array" ref="P6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4" s="1" t="str">
        <f>IF($S654="","",IFERROR(_xlfn.XLOOKUP($S654,CostData!$U$22:$U$1000,CostData!$T$22:$T$1000,""),""))</f>
        <v>Hinge</v>
      </c>
      <c r="R654" s="16" t="str">
        <f>IF($S654="","",$T654)</f>
        <v>Casement Friction Stay</v>
      </c>
      <c r="S654" s="24" t="s">
        <v>1879</v>
      </c>
      <c r="T654" s="1" t="str" cm="1">
        <f t="array" ref="T654">_xlfn.LET(_xlpm.cd,INDEX($S:$S,ROW()),IF(_xlpm.cd="","",IFERROR(_xlfn.XLOOKUP(_xlpm.cd,CostData!$U$22:$U$1000,CostData!$W$22:$W$1000,""),"")))</f>
        <v>Casement Friction Stay</v>
      </c>
      <c r="U654" s="1" t="str">
        <f>IF($S654="","",IFERROR(_xlfn.XLOOKUP($S654,CostData!$U$22:$U$1000,CostData!$AA$22:$AA$1000,""),""))</f>
        <v>Pair</v>
      </c>
      <c r="V654" s="1">
        <f>IF(Enginuity!$B$13&gt;0,Enginuity!$B$13,"")</f>
        <v>7</v>
      </c>
      <c r="W654" s="400" t="str" cm="1">
        <f t="array" ref="W6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5" spans="1:23" x14ac:dyDescent="0.25">
      <c r="A655" s="275" t="s">
        <v>254</v>
      </c>
      <c r="C655" s="370" t="s">
        <v>1935</v>
      </c>
      <c r="P655" s="1" t="str" cm="1">
        <f t="array" ref="P6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5" s="1" t="str">
        <f>IF($S655="","",IFERROR(_xlfn.XLOOKUP($S655,CostData!$U$22:$U$1000,CostData!$T$22:$T$1000,""),""))</f>
        <v>Handle</v>
      </c>
      <c r="R655" s="16" t="str">
        <f>IF($S655="","",$T655)</f>
        <v>Casement Handle</v>
      </c>
      <c r="S655" s="24" t="s">
        <v>113</v>
      </c>
      <c r="T655" s="1" t="str" cm="1">
        <f t="array" ref="T655">_xlfn.LET(_xlpm.cd,INDEX($S:$S,ROW()),IF(_xlpm.cd="","",IFERROR(_xlfn.XLOOKUP(_xlpm.cd,CostData!$U$22:$U$1000,CostData!$W$22:$W$1000,""),"")))</f>
        <v>Casement Handle</v>
      </c>
      <c r="U655" s="1" t="str">
        <f>IF($S655="","",IFERROR(_xlfn.XLOOKUP($S655,CostData!$U$22:$U$1000,CostData!$AA$22:$AA$1000,""),""))</f>
        <v>Pcs</v>
      </c>
      <c r="V655" s="1" cm="1">
        <f t="array" ref="V65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55" s="400" t="str" cm="1">
        <f t="array" ref="W6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6" spans="1:23" x14ac:dyDescent="0.25">
      <c r="A656" s="275" t="s">
        <v>254</v>
      </c>
      <c r="C656" s="370" t="s">
        <v>1935</v>
      </c>
      <c r="P656" s="1" t="str" cm="1">
        <f t="array" ref="P6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6" s="1" t="str">
        <f>IF($S656="","",IFERROR(_xlfn.XLOOKUP($S656,CostData!$U$22:$U$1000,CostData!$T$22:$T$1000,""),""))</f>
        <v>Black Tape</v>
      </c>
      <c r="R656" s="16" t="str">
        <f>IF($S656="","",$T656)</f>
        <v>2.5" x 2 Black Tape</v>
      </c>
      <c r="S656" s="24" t="s">
        <v>1898</v>
      </c>
      <c r="T656" s="1" t="str" cm="1">
        <f t="array" ref="T656">_xlfn.LET(_xlpm.cd,INDEX($S:$S,ROW()),IF(_xlpm.cd="","",IFERROR(_xlfn.XLOOKUP(_xlpm.cd,CostData!$U$22:$U$1000,CostData!$W$22:$W$1000,""),"")))</f>
        <v>2.5" x 2 Black Tape</v>
      </c>
      <c r="U656" s="1" t="str">
        <f>IF($S656="","",IFERROR(_xlfn.XLOOKUP($S656,CostData!$U$22:$U$1000,CostData!$AA$22:$AA$1000,""),""))</f>
        <v>Ft</v>
      </c>
      <c r="V656" s="1">
        <f>IF(SUM($V$61:$V$64)=0,"",SUM($V$61:$V$64))</f>
        <v>440</v>
      </c>
      <c r="W656" s="400" t="str" cm="1">
        <f t="array" ref="W6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7" spans="1:23" x14ac:dyDescent="0.25">
      <c r="A657" s="275" t="s">
        <v>254</v>
      </c>
      <c r="C657" s="370" t="s">
        <v>1935</v>
      </c>
      <c r="P657" s="1" t="str" cm="1">
        <f t="array" ref="P6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7" s="1" t="str">
        <f>IF($S657="","",IFERROR(_xlfn.XLOOKUP($S657,CostData!$U$22:$U$1000,CostData!$T$22:$T$1000,""),""))</f>
        <v>Gasket</v>
      </c>
      <c r="R657" s="16" t="s">
        <v>1931</v>
      </c>
      <c r="S657" s="24" t="s">
        <v>1912</v>
      </c>
      <c r="T657" s="1" t="str" cm="1">
        <f t="array" ref="T657">_xlfn.LET(_xlpm.cd,INDEX($S:$S,ROW()),IF(_xlpm.cd="","",IFERROR(_xlfn.XLOOKUP(_xlpm.cd,CostData!$U$22:$U$1000,CostData!$W$22:$W$1000,""),"")))</f>
        <v>F18 Gasket</v>
      </c>
      <c r="U657" s="1" t="str">
        <f>IF($S657="","",IFERROR(_xlfn.XLOOKUP($S657,CostData!$U$22:$U$1000,CostData!$AA$22:$AA$1000,""),""))</f>
        <v>Ft</v>
      </c>
      <c r="V657" s="1">
        <f>IF($V$61="","",$V$61)</f>
        <v>200</v>
      </c>
      <c r="W657" s="400" t="str" cm="1">
        <f t="array" ref="W6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8" spans="1:23" x14ac:dyDescent="0.25">
      <c r="A658" s="275" t="s">
        <v>254</v>
      </c>
      <c r="C658" s="370" t="s">
        <v>1935</v>
      </c>
      <c r="P658" s="1" t="str" cm="1">
        <f t="array" ref="P6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8" s="1" t="str">
        <f>IF($S658="","",IFERROR(_xlfn.XLOOKUP($S658,CostData!$U$22:$U$1000,CostData!$T$22:$T$1000,""),""))</f>
        <v>Gasket</v>
      </c>
      <c r="R658" s="16" t="s">
        <v>1932</v>
      </c>
      <c r="S658" s="24" t="s">
        <v>1916</v>
      </c>
      <c r="T658" s="1" t="str" cm="1">
        <f t="array" ref="T658">_xlfn.LET(_xlpm.cd,INDEX($S:$S,ROW()),IF(_xlpm.cd="","",IFERROR(_xlfn.XLOOKUP(_xlpm.cd,CostData!$U$22:$U$1000,CostData!$W$22:$W$1000,""),"")))</f>
        <v>F16S Gasket</v>
      </c>
      <c r="U658" s="1" t="str">
        <f>IF($S658="","",IFERROR(_xlfn.XLOOKUP($S658,CostData!$U$22:$U$1000,CostData!$AA$22:$AA$1000,""),""))</f>
        <v>Ft</v>
      </c>
      <c r="V658" s="1">
        <f>IF($V$62="","",$V$62)</f>
        <v>180</v>
      </c>
      <c r="W658" s="400" t="str" cm="1">
        <f t="array" ref="W6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9" spans="1:23" x14ac:dyDescent="0.25">
      <c r="A659" s="275" t="s">
        <v>254</v>
      </c>
      <c r="C659" s="370" t="s">
        <v>1935</v>
      </c>
      <c r="P659" s="1" t="str" cm="1">
        <f t="array" ref="P6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9" s="1" t="str">
        <f>IF($S659="","",IFERROR(_xlfn.XLOOKUP($S659,CostData!$U$22:$U$1000,CostData!$T$22:$T$1000,""),""))</f>
        <v>Gasket</v>
      </c>
      <c r="R659" s="16" t="s">
        <v>1930</v>
      </c>
      <c r="S659" s="24">
        <v>6154</v>
      </c>
      <c r="T659" s="1" t="str" cm="1">
        <f t="array" ref="T659">_xlfn.LET(_xlpm.cd,INDEX($S:$S,ROW()),IF(_xlpm.cd="","",IFERROR(_xlfn.XLOOKUP(_xlpm.cd,CostData!$U$22:$U$1000,CostData!$W$22:$W$1000,""),"")))</f>
        <v>6154 Gasket</v>
      </c>
      <c r="U659" s="1" t="str">
        <f>IF($S659="","",IFERROR(_xlfn.XLOOKUP($S659,CostData!$U$22:$U$1000,CostData!$AA$22:$AA$1000,""),""))</f>
        <v>Ft</v>
      </c>
      <c r="V659" s="1">
        <f>IF($V$62="","",$V$62)</f>
        <v>180</v>
      </c>
      <c r="W659" s="400" t="str" cm="1">
        <f t="array" ref="W6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0" spans="1:23" x14ac:dyDescent="0.25">
      <c r="A660" s="412" t="s">
        <v>254</v>
      </c>
      <c r="B660" s="399"/>
      <c r="C660" s="399" t="s">
        <v>1935</v>
      </c>
      <c r="D660" s="399"/>
      <c r="E660" s="399"/>
      <c r="F660" s="399"/>
      <c r="G660" s="399"/>
      <c r="H660" s="399"/>
      <c r="I660" s="399"/>
      <c r="J660" s="399"/>
      <c r="K660" s="399"/>
      <c r="L660" s="399"/>
      <c r="M660" s="399"/>
      <c r="N660" s="399"/>
      <c r="O660" s="399"/>
      <c r="P660" s="401"/>
      <c r="Q660" s="401" t="str">
        <f>IF($S660="","",IFERROR(_xlfn.XLOOKUP($S660,CostData!$U$22:$U$1000,CostData!$T$22:$T$1000,""),""))</f>
        <v>Gasket</v>
      </c>
      <c r="R660" s="429" t="s">
        <v>1933</v>
      </c>
      <c r="S660" s="418">
        <v>6154</v>
      </c>
      <c r="T660" s="401" t="str" cm="1">
        <f t="array" ref="T660">_xlfn.LET(_xlpm.cd,INDEX($S:$S,ROW()),IF(_xlpm.cd="","",IFERROR(_xlfn.XLOOKUP(_xlpm.cd,CostData!$U$22:$U$1000,CostData!$W$22:$W$1000,""),"")))</f>
        <v>6154 Gasket</v>
      </c>
      <c r="U660" s="401" t="str">
        <f>IF($S660="","",IFERROR(_xlfn.XLOOKUP($S660,CostData!$U$22:$U$1000,CostData!$AA$22:$AA$1000,""),""))</f>
        <v>Ft</v>
      </c>
      <c r="V660" s="401">
        <f>IF(SUM($V$63:$V$64)=0,"",SUM($V$63:$V$64)*2)</f>
        <v>120</v>
      </c>
      <c r="W660" s="413" t="str" cm="1">
        <f t="array" ref="W6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1" spans="1:23" x14ac:dyDescent="0.25">
      <c r="A661" s="419" t="s">
        <v>254</v>
      </c>
      <c r="B661" s="415" t="s">
        <v>1846</v>
      </c>
      <c r="C661" s="415" t="s">
        <v>1935</v>
      </c>
      <c r="D661" s="415" t="s">
        <v>1792</v>
      </c>
      <c r="E661" s="415" t="str" cm="1">
        <f t="array" ref="E661:E670">IFERROR(INDEX(_xlfn._xlws.FILTER(CostData!$P$3:$P$12,CostData!$P$3:$P$12&lt;&gt;""),_xlfn.SEQUENCE(10)),"")</f>
        <v>Default</v>
      </c>
      <c r="F661" s="415" t="str">
        <f>"▼ [Variant]"</f>
        <v>▼ [Variant]</v>
      </c>
      <c r="G661" s="415" t="str">
        <f>"▼ [Fix - Casement]"</f>
        <v>▼ [Fix - Casement]</v>
      </c>
      <c r="H661" s="415" t="str">
        <f>"▼ [Hung Window - Casement]"</f>
        <v>▼ [Hung Window - Casement]</v>
      </c>
      <c r="I661" s="415" t="s">
        <v>1858</v>
      </c>
      <c r="J661" s="415" t="s">
        <v>1859</v>
      </c>
      <c r="K661" s="415" t="s">
        <v>1860</v>
      </c>
      <c r="L661" s="415" t="s">
        <v>1861</v>
      </c>
      <c r="M661" s="420">
        <v>0.54649999999999999</v>
      </c>
      <c r="N661" s="415">
        <v>609.6</v>
      </c>
      <c r="O661" s="415"/>
      <c r="P661" s="409" t="str" cm="1">
        <f t="array" ref="P6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1" s="409" t="str" cm="1">
        <f t="array" ref="Q661">_xlfn.LET(_xlpm.cd,INDEX($S:$S,ROW()),IF(_xlpm.cd="","",IFERROR(_xlfn.XLOOKUP(_xlpm.cd,CostData!$C$22:$C$1000,CostData!$B$22:$B$1000,""),"")))</f>
        <v>Aluminium</v>
      </c>
      <c r="R661" s="428" t="s">
        <v>1812</v>
      </c>
      <c r="S661" s="417" t="s">
        <v>1926</v>
      </c>
      <c r="T661" s="409" t="str" cm="1">
        <f t="array" ref="T661">_xlfn.LET(_xlpm.cd,INDEX($S:$S,ROW()),IF(_xlpm.cd="","",IFERROR(_xlfn.XLOOKUP(_xlpm.cd,CostData!$C$22:$C$1000,CostData!$E$22:$E$1000,""),"")))</f>
        <v>Outer</v>
      </c>
      <c r="U661" s="409" t="s">
        <v>103</v>
      </c>
      <c r="V661" s="4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W661" s="421" t="str" cm="1">
        <f t="array" ref="W6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2" spans="1:23" x14ac:dyDescent="0.25">
      <c r="A662" s="275" t="s">
        <v>254</v>
      </c>
      <c r="B662" s="370" t="s">
        <v>1848</v>
      </c>
      <c r="C662" s="370" t="s">
        <v>1935</v>
      </c>
      <c r="D662" s="370" t="s">
        <v>1814</v>
      </c>
      <c r="E662" s="370" t="str">
        <v>Z-Louvre Blade - 2"</v>
      </c>
      <c r="G662" s="370" t="s">
        <v>1866</v>
      </c>
      <c r="H662" s="370" t="s">
        <v>1866</v>
      </c>
      <c r="P662" s="1" t="str" cm="1">
        <f t="array" ref="P6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2" s="1" t="str" cm="1">
        <f t="array" ref="Q662">_xlfn.LET(_xlpm.cd,INDEX($S:$S,ROW()),IF(_xlpm.cd="","",IFERROR(_xlfn.XLOOKUP(_xlpm.cd,CostData!$C$22:$C$1000,CostData!$B$22:$B$1000,""),"")))</f>
        <v>Aluminium</v>
      </c>
      <c r="R662" s="16" t="s">
        <v>1849</v>
      </c>
      <c r="S662" s="24" t="s">
        <v>1927</v>
      </c>
      <c r="T662" s="1" t="str" cm="1">
        <f t="array" ref="T662">_xlfn.LET(_xlpm.cd,INDEX($S:$S,ROW()),IF(_xlpm.cd="","",IFERROR(_xlfn.XLOOKUP(_xlpm.cd,CostData!$C$22:$C$1000,CostData!$E$22:$E$1000,""),"")))</f>
        <v>Inner</v>
      </c>
      <c r="U662" s="1" t="s">
        <v>103</v>
      </c>
      <c r="V662" s="1" cm="1">
        <f t="array" ref="V6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180</v>
      </c>
      <c r="W662" s="400" t="str" cm="1">
        <f t="array" ref="W6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3" spans="1:23" x14ac:dyDescent="0.25">
      <c r="A663" s="275" t="s">
        <v>254</v>
      </c>
      <c r="B663" s="370" t="s">
        <v>382</v>
      </c>
      <c r="C663" s="370" t="s">
        <v>1935</v>
      </c>
      <c r="D663" s="370" t="s">
        <v>1793</v>
      </c>
      <c r="E663" s="370" t="str">
        <v>Z-Louvre Blade - 5"</v>
      </c>
      <c r="G663" s="370" t="s">
        <v>1867</v>
      </c>
      <c r="H663" s="370" t="s">
        <v>1867</v>
      </c>
      <c r="P663" s="1" t="str" cm="1">
        <f t="array" ref="P6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3" s="1" t="str" cm="1">
        <f t="array" ref="Q663">_xlfn.LET(_xlpm.cd,INDEX($S:$S,ROW()),IF(_xlpm.cd="","",IFERROR(_xlfn.XLOOKUP(_xlpm.cd,CostData!$C$22:$C$1000,CostData!$B$22:$B$1000,""),"")))</f>
        <v>Aluminium</v>
      </c>
      <c r="R663" s="16" t="s">
        <v>1863</v>
      </c>
      <c r="S663" s="24" t="s">
        <v>1928</v>
      </c>
      <c r="T663" s="1" t="str" cm="1">
        <f t="array" ref="T663">_xlfn.LET(_xlpm.cd,INDEX($S:$S,ROW()),IF(_xlpm.cd="","",IFERROR(_xlfn.XLOOKUP(_xlpm.cd,CostData!$C$22:$C$1000,CostData!$E$22:$E$1000,""),"")))</f>
        <v>Mullion</v>
      </c>
      <c r="U663" s="1" t="s">
        <v>103</v>
      </c>
      <c r="V6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60</v>
      </c>
      <c r="W663" s="400" t="str" cm="1">
        <f t="array" ref="W6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4" spans="1:23" x14ac:dyDescent="0.25">
      <c r="A664" s="275" t="s">
        <v>254</v>
      </c>
      <c r="B664" s="370" t="s">
        <v>1847</v>
      </c>
      <c r="C664" s="370" t="s">
        <v>1935</v>
      </c>
      <c r="D664" s="370" t="s">
        <v>1815</v>
      </c>
      <c r="E664" s="370" t="str">
        <v/>
      </c>
      <c r="G664" s="370" t="s">
        <v>1868</v>
      </c>
      <c r="H664" s="370" t="s">
        <v>1868</v>
      </c>
      <c r="P664" s="1" t="str" cm="1">
        <f t="array" ref="P6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4" s="1" t="str" cm="1">
        <f t="array" ref="Q664">_xlfn.LET(_xlpm.cd,INDEX($S:$S,ROW()),IF(_xlpm.cd="","",IFERROR(_xlfn.XLOOKUP(_xlpm.cd,CostData!$C$22:$C$1000,CostData!$B$22:$B$1000,""),"")))</f>
        <v>Aluminium</v>
      </c>
      <c r="R664" s="16" t="s">
        <v>1862</v>
      </c>
      <c r="S664" s="24" t="s">
        <v>1928</v>
      </c>
      <c r="T664" s="1" t="str" cm="1">
        <f t="array" ref="T664">_xlfn.LET(_xlpm.cd,INDEX($S:$S,ROW()),IF(_xlpm.cd="","",IFERROR(_xlfn.XLOOKUP(_xlpm.cd,CostData!$C$22:$C$1000,CostData!$E$22:$E$1000,""),"")))</f>
        <v>Mullion</v>
      </c>
      <c r="U664" s="1" t="s">
        <v>103</v>
      </c>
      <c r="V6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64" s="400" t="str" cm="1">
        <f t="array" ref="W6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5" spans="1:23" x14ac:dyDescent="0.25">
      <c r="A665" s="275" t="s">
        <v>254</v>
      </c>
      <c r="C665" s="370" t="s">
        <v>1935</v>
      </c>
      <c r="E665" s="370" t="str">
        <v/>
      </c>
      <c r="G665" s="370" t="s">
        <v>1869</v>
      </c>
      <c r="H665" s="370" t="s">
        <v>1869</v>
      </c>
      <c r="P665" s="1" t="str" cm="1">
        <f t="array" ref="P6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5" s="1" t="str" cm="1">
        <f t="array" ref="Q665">_xlfn.LET(_xlpm.cd,INDEX($S:$S,ROW()),IF(_xlpm.cd="","",IFERROR(_xlfn.XLOOKUP(_xlpm.cd,CostData!$C$22:$C$1000,CostData!$B$22:$B$1000,""),"")))</f>
        <v/>
      </c>
      <c r="T665" s="1" t="str" cm="1">
        <f t="array" ref="T665">_xlfn.LET(_xlpm.cd,INDEX($S:$S,ROW()),IF(_xlpm.cd="","",IFERROR(_xlfn.XLOOKUP(_xlpm.cd,CostData!$C$22:$C$1000,CostData!$E$22:$E$1000,""),"")))</f>
        <v/>
      </c>
      <c r="V665" s="1" t="str" cm="1">
        <f t="array" ref="V665">IFERROR(_xlfn.XLOOKUP(1,(TRIM(CostData!$B$22:$B$1000)="Aluminium")*(TRIM(CostData!$C$22:$C$1000)="CWS")*(TRIM(CostData!$E$22:$E$1000)=TRIM($S665)),_xlfn.SWITCH(TRIM(Enginuity!$A$19),"N/A",CostData!$H$22:$H$1000,"M/B",CostData!$I$22:$I$1000,"P/C",CostData!$J$22:$J$1000,"W/G",CostData!$K$22:$K$1000,""),""),"")</f>
        <v/>
      </c>
      <c r="W665" s="400" t="str" cm="1">
        <f t="array" ref="W6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6" spans="1:23" x14ac:dyDescent="0.25">
      <c r="A666" s="275" t="s">
        <v>254</v>
      </c>
      <c r="C666" s="370" t="s">
        <v>1935</v>
      </c>
      <c r="E666" s="370" t="str">
        <v/>
      </c>
      <c r="G666" s="370" t="s">
        <v>1870</v>
      </c>
      <c r="H666" s="370" t="s">
        <v>1870</v>
      </c>
      <c r="P666" s="1" t="str" cm="1">
        <f t="array" ref="P6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6" s="1" t="str" cm="1">
        <f t="array" ref="Q666">_xlfn.LET(_xlpm.cd,INDEX($S:$S,ROW()),IF(_xlpm.cd="","",IFERROR(_xlfn.XLOOKUP(_xlpm.cd,CostData!$C$22:$C$1000,CostData!$B$22:$B$1000,""),"")))</f>
        <v/>
      </c>
      <c r="R666" s="16" t="str">
        <f>IF(Enginuity!$A$22="","",Enginuity!$A$22&amp;" Fix Window")</f>
        <v>▼ [Lattice] Fix Window</v>
      </c>
      <c r="T666" s="1" t="str" cm="1">
        <f t="array" ref="T666">_xlfn.LET(_xlpm.cd,INDEX($S:$S,ROW()),IF(_xlpm.cd="","",IFERROR(_xlfn.XLOOKUP(_xlpm.cd,CostData!$C$22:$C$1000,CostData!$E$22:$E$1000,""),"")))</f>
        <v/>
      </c>
      <c r="U666" s="1" t="s">
        <v>176</v>
      </c>
      <c r="V666" s="1">
        <v>1</v>
      </c>
      <c r="W666" s="400" t="str">
        <f>IF(Enginuity!$A$22&lt;&gt;"",$W$4,"")</f>
        <v/>
      </c>
    </row>
    <row r="667" spans="1:23" x14ac:dyDescent="0.25">
      <c r="A667" s="275" t="s">
        <v>254</v>
      </c>
      <c r="C667" s="370" t="s">
        <v>1935</v>
      </c>
      <c r="E667" s="370" t="str">
        <v/>
      </c>
      <c r="G667" s="370" t="s">
        <v>1871</v>
      </c>
      <c r="H667" s="370" t="s">
        <v>1871</v>
      </c>
      <c r="P667" s="1" t="str" cm="1">
        <f t="array" ref="P6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7" s="1" t="str" cm="1">
        <f t="array" ref="Q667">_xlfn.LET(_xlpm.cd,INDEX($S:$S,ROW()),IF(_xlpm.cd="","",IFERROR(_xlfn.XLOOKUP(_xlpm.cd,CostData!$C$22:$C$1000,CostData!$B$22:$B$1000,""),"")))</f>
        <v/>
      </c>
      <c r="T667" s="1" t="str" cm="1">
        <f t="array" ref="T667">_xlfn.LET(_xlpm.cd,INDEX($S:$S,ROW()),IF(_xlpm.cd="","",IFERROR(_xlfn.XLOOKUP(_xlpm.cd,CostData!$C$22:$C$1000,CostData!$E$22:$E$1000,""),"")))</f>
        <v/>
      </c>
      <c r="V667" s="1" t="str" cm="1">
        <f t="array" ref="V667">IFERROR(_xlfn.XLOOKUP(1,(TRIM(CostData!$B$22:$B$1000)="Aluminium")*(TRIM(CostData!$C$22:$C$1000)="CWS")*(TRIM(CostData!$E$22:$E$1000)=TRIM($S667)),_xlfn.SWITCH(TRIM(Enginuity!$A$19),"N/A",CostData!$H$22:$H$1000,"M/B",CostData!$I$22:$I$1000,"P/C",CostData!$J$22:$J$1000,"W/G",CostData!$K$22:$K$1000,""),""),"")</f>
        <v/>
      </c>
      <c r="W667" s="400" t="str" cm="1">
        <f t="array" ref="W6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8" spans="1:23" x14ac:dyDescent="0.25">
      <c r="A668" s="275" t="s">
        <v>254</v>
      </c>
      <c r="C668" s="370" t="s">
        <v>1935</v>
      </c>
      <c r="E668" s="370" t="str">
        <v/>
      </c>
      <c r="G668" s="370" t="s">
        <v>1872</v>
      </c>
      <c r="H668" s="370" t="s">
        <v>1872</v>
      </c>
      <c r="P668" s="1" t="str" cm="1">
        <f t="array" ref="P6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8" s="1" t="str" cm="1">
        <f t="array" ref="Q668">_xlfn.LET(_xlpm.cd,INDEX($S:$S,ROW()),IF(_xlpm.cd="","",IFERROR(_xlfn.XLOOKUP(_xlpm.cd,CostData!$C$22:$C$1000,CostData!$B$22:$B$1000,""),"")))</f>
        <v/>
      </c>
      <c r="T668" s="1" t="str" cm="1">
        <f t="array" ref="T668">_xlfn.LET(_xlpm.cd,INDEX($S:$S,ROW()),IF(_xlpm.cd="","",IFERROR(_xlfn.XLOOKUP(_xlpm.cd,CostData!$C$22:$C$1000,CostData!$E$22:$E$1000,""),"")))</f>
        <v/>
      </c>
      <c r="V668" s="1" t="str" cm="1">
        <f t="array" ref="V668">IFERROR(_xlfn.XLOOKUP(1,(TRIM(CostData!$B$22:$B$1000)="Aluminium")*(TRIM(CostData!$C$22:$C$1000)="CWS")*(TRIM(CostData!$E$22:$E$1000)=TRIM($S668)),_xlfn.SWITCH(TRIM(Enginuity!$A$19),"N/A",CostData!$H$22:$H$1000,"M/B",CostData!$I$22:$I$1000,"P/C",CostData!$J$22:$J$1000,"W/G",CostData!$K$22:$K$1000,""),""),"")</f>
        <v/>
      </c>
      <c r="W668" s="400" t="str" cm="1">
        <f t="array" ref="W6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9" spans="1:23" x14ac:dyDescent="0.25">
      <c r="A669" s="275" t="s">
        <v>254</v>
      </c>
      <c r="C669" s="370" t="s">
        <v>1935</v>
      </c>
      <c r="E669" s="370" t="str">
        <v/>
      </c>
      <c r="G669" s="370" t="s">
        <v>1873</v>
      </c>
      <c r="H669" s="370" t="s">
        <v>1873</v>
      </c>
      <c r="P669" s="1" t="str" cm="1">
        <f t="array" ref="P6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9" s="1" t="str" cm="1">
        <f t="array" ref="Q669">_xlfn.LET(_xlpm.cd,INDEX($S:$S,ROW()),IF(_xlpm.cd="","",IFERROR(_xlfn.XLOOKUP(_xlpm.cd,CostData!$C$22:$C$1000,CostData!$B$22:$B$1000,""),"")))</f>
        <v/>
      </c>
      <c r="T669" s="1" t="str" cm="1">
        <f t="array" ref="T669">_xlfn.LET(_xlpm.cd,INDEX($S:$S,ROW()),IF(_xlpm.cd="","",IFERROR(_xlfn.XLOOKUP(_xlpm.cd,CostData!$C$22:$C$1000,CostData!$E$22:$E$1000,""),"")))</f>
        <v/>
      </c>
      <c r="V669" s="1" t="str" cm="1">
        <f t="array" ref="V669">IFERROR(_xlfn.XLOOKUP(1,(TRIM(CostData!$B$22:$B$1000)="Aluminium")*(TRIM(CostData!$C$22:$C$1000)="CWS")*(TRIM(CostData!$E$22:$E$1000)=TRIM($S669)),_xlfn.SWITCH(TRIM(Enginuity!$A$19),"N/A",CostData!$H$22:$H$1000,"M/B",CostData!$I$22:$I$1000,"P/C",CostData!$J$22:$J$1000,"W/G",CostData!$K$22:$K$1000,""),""),"")</f>
        <v/>
      </c>
      <c r="W669" s="400" t="str" cm="1">
        <f t="array" ref="W6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0" spans="1:23" x14ac:dyDescent="0.25">
      <c r="A670" s="275" t="s">
        <v>254</v>
      </c>
      <c r="C670" s="370" t="s">
        <v>1935</v>
      </c>
      <c r="E670" s="370" t="str">
        <v/>
      </c>
      <c r="P670" s="1" t="str" cm="1">
        <f t="array" ref="P6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0" s="1" t="str" cm="1">
        <f t="array" ref="Q670">_xlfn.LET(_xlpm.cd,INDEX($S:$S,ROW()),IF(_xlpm.cd="","",IFERROR(_xlfn.XLOOKUP(_xlpm.cd,CostData!$C$22:$C$1000,CostData!$B$22:$B$1000,""),"")))</f>
        <v/>
      </c>
      <c r="T670" s="1" t="str" cm="1">
        <f t="array" ref="T670">_xlfn.LET(_xlpm.cd,INDEX($S:$S,ROW()),IF(_xlpm.cd="","",IFERROR(_xlfn.XLOOKUP(_xlpm.cd,CostData!$C$22:$C$1000,CostData!$E$22:$E$1000,""),"")))</f>
        <v/>
      </c>
      <c r="V670" s="1" t="str" cm="1">
        <f t="array" ref="V670">IFERROR(_xlfn.XLOOKUP(1,(TRIM(CostData!$B$22:$B$1000)="Aluminium")*(TRIM(CostData!$C$22:$C$1000)="CWS")*(TRIM(CostData!$E$22:$E$1000)=TRIM($S670)),_xlfn.SWITCH(TRIM(Enginuity!$A$19),"N/A",CostData!$H$22:$H$1000,"M/B",CostData!$I$22:$I$1000,"P/C",CostData!$J$22:$J$1000,"W/G",CostData!$K$22:$K$1000,""),""),"")</f>
        <v/>
      </c>
      <c r="W670" s="400" t="str" cm="1">
        <f t="array" ref="W6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1" spans="1:23" x14ac:dyDescent="0.25">
      <c r="A671" s="275" t="s">
        <v>254</v>
      </c>
      <c r="C671" s="370" t="s">
        <v>1935</v>
      </c>
      <c r="P671" s="1" t="str" cm="1">
        <f t="array" ref="P6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1" s="1" t="str" cm="1">
        <f t="array" ref="Q671">_xlfn.LET(_xlpm.cd,INDEX($S:$S,ROW()),IF(_xlpm.cd="","",IFERROR(_xlfn.XLOOKUP(_xlpm.cd,CostData!$C$22:$C$1000,CostData!$B$22:$B$1000,""),"")))</f>
        <v/>
      </c>
      <c r="T671" s="1" t="str" cm="1">
        <f t="array" ref="T671">_xlfn.LET(_xlpm.cd,INDEX($S:$S,ROW()),IF(_xlpm.cd="","",IFERROR(_xlfn.XLOOKUP(_xlpm.cd,CostData!$C$22:$C$1000,CostData!$E$22:$E$1000,""),"")))</f>
        <v/>
      </c>
      <c r="V671" s="1" t="str" cm="1">
        <f t="array" ref="V671">IFERROR(_xlfn.XLOOKUP(1,(TRIM(CostData!$B$22:$B$1000)="Aluminium")*(TRIM(CostData!$C$22:$C$1000)="CWS")*(TRIM(CostData!$E$22:$E$1000)=TRIM($S671)),_xlfn.SWITCH(TRIM(Enginuity!$A$19),"N/A",CostData!$H$22:$H$1000,"M/B",CostData!$I$22:$I$1000,"P/C",CostData!$J$22:$J$1000,"W/G",CostData!$K$22:$K$1000,""),""),"")</f>
        <v/>
      </c>
      <c r="W671" s="400" t="str" cm="1">
        <f t="array" ref="W6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2" spans="1:23" x14ac:dyDescent="0.25">
      <c r="A672" s="275" t="s">
        <v>254</v>
      </c>
      <c r="C672" s="370" t="s">
        <v>1935</v>
      </c>
      <c r="P672" s="1" t="str" cm="1">
        <f t="array" ref="P6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2" s="1" t="str" cm="1">
        <f t="array" ref="Q672">_xlfn.LET(_xlpm.cd,INDEX($S:$S,ROW()),IF(_xlpm.cd="","",IFERROR(_xlfn.XLOOKUP(_xlpm.cd,CostData!$C$22:$C$1000,CostData!$B$22:$B$1000,""),"")))</f>
        <v/>
      </c>
      <c r="T672" s="1" t="str" cm="1">
        <f t="array" ref="T672">_xlfn.LET(_xlpm.cd,INDEX($S:$S,ROW()),IF(_xlpm.cd="","",IFERROR(_xlfn.XLOOKUP(_xlpm.cd,CostData!$C$22:$C$1000,CostData!$E$22:$E$1000,""),"")))</f>
        <v/>
      </c>
      <c r="V672" s="1" t="str" cm="1">
        <f t="array" ref="V672">IFERROR(_xlfn.XLOOKUP(1,(TRIM(CostData!$B$22:$B$1000)="Aluminium")*(TRIM(CostData!$C$22:$C$1000)="CWS")*(TRIM(CostData!$E$22:$E$1000)=TRIM($S672)),_xlfn.SWITCH(TRIM(Enginuity!$A$19),"N/A",CostData!$H$22:$H$1000,"M/B",CostData!$I$22:$I$1000,"P/C",CostData!$J$22:$J$1000,"W/G",CostData!$K$22:$K$1000,""),""),"")</f>
        <v/>
      </c>
      <c r="W672" s="400" t="str" cm="1">
        <f t="array" ref="W6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3" spans="1:23" x14ac:dyDescent="0.25">
      <c r="A673" s="275" t="s">
        <v>254</v>
      </c>
      <c r="C673" s="370" t="s">
        <v>1935</v>
      </c>
      <c r="P673" s="1" t="str" cm="1">
        <f t="array" ref="P6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3" s="1" t="str" cm="1">
        <f t="array" ref="Q673">_xlfn.LET(_xlpm.cd,INDEX($S:$S,ROW()),IF(_xlpm.cd="","",IFERROR(_xlfn.XLOOKUP(_xlpm.cd,CostData!$C$22:$C$1000,CostData!$B$22:$B$1000,""),"")))</f>
        <v/>
      </c>
      <c r="T673" s="1" t="str" cm="1">
        <f t="array" ref="T673">_xlfn.LET(_xlpm.cd,INDEX($S:$S,ROW()),IF(_xlpm.cd="","",IFERROR(_xlfn.XLOOKUP(_xlpm.cd,CostData!$C$22:$C$1000,CostData!$E$22:$E$1000,""),"")))</f>
        <v/>
      </c>
      <c r="V673" s="1" t="str" cm="1">
        <f t="array" ref="V673">IFERROR(_xlfn.XLOOKUP(1,(TRIM(CostData!$B$22:$B$1000)="Aluminium")*(TRIM(CostData!$C$22:$C$1000)="CWS")*(TRIM(CostData!$E$22:$E$1000)=TRIM($S673)),_xlfn.SWITCH(TRIM(Enginuity!$A$19),"N/A",CostData!$H$22:$H$1000,"M/B",CostData!$I$22:$I$1000,"P/C",CostData!$J$22:$J$1000,"W/G",CostData!$K$22:$K$1000,""),""),"")</f>
        <v/>
      </c>
      <c r="W673" s="400" t="str" cm="1">
        <f t="array" ref="W6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4" spans="1:23" x14ac:dyDescent="0.25">
      <c r="A674" s="275" t="s">
        <v>254</v>
      </c>
      <c r="C674" s="370" t="s">
        <v>1935</v>
      </c>
      <c r="P674" s="1" t="str" cm="1">
        <f t="array" ref="P6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4" s="1" t="str" cm="1">
        <f t="array" ref="Q674">_xlfn.LET(_xlpm.cd,INDEX($S:$S,ROW()),IF(_xlpm.cd="","",IFERROR(_xlfn.XLOOKUP(_xlpm.cd,CostData!$C$22:$C$1000,CostData!$B$22:$B$1000,""),"")))</f>
        <v/>
      </c>
      <c r="T674" s="1" t="str" cm="1">
        <f t="array" ref="T674">_xlfn.LET(_xlpm.cd,INDEX($S:$S,ROW()),IF(_xlpm.cd="","",IFERROR(_xlfn.XLOOKUP(_xlpm.cd,CostData!$C$22:$C$1000,CostData!$E$22:$E$1000,""),"")))</f>
        <v/>
      </c>
      <c r="V674" s="1" t="str" cm="1">
        <f t="array" ref="V674">IFERROR(_xlfn.XLOOKUP(1,(TRIM(CostData!$B$22:$B$1000)="Aluminium")*(TRIM(CostData!$C$22:$C$1000)="CWS")*(TRIM(CostData!$E$22:$E$1000)=TRIM($S674)),_xlfn.SWITCH(TRIM(Enginuity!$A$19),"N/A",CostData!$H$22:$H$1000,"M/B",CostData!$I$22:$I$1000,"P/C",CostData!$J$22:$J$1000,"W/G",CostData!$K$22:$K$1000,""),""),"")</f>
        <v/>
      </c>
      <c r="W674" s="400" t="str" cm="1">
        <f t="array" ref="W6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5" spans="1:23" x14ac:dyDescent="0.25">
      <c r="A675" s="275" t="s">
        <v>254</v>
      </c>
      <c r="C675" s="370" t="s">
        <v>1935</v>
      </c>
      <c r="P675" s="1" t="str" cm="1">
        <f t="array" ref="P6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5" s="1" t="str" cm="1">
        <f t="array" ref="Q675">_xlfn.LET(_xlpm.cd,INDEX($S:$S,ROW()),IF(_xlpm.cd="","",IFERROR(_xlfn.XLOOKUP(_xlpm.cd,CostData!$C$22:$C$1000,CostData!$B$22:$B$1000,""),"")))</f>
        <v/>
      </c>
      <c r="T675" s="1" t="str" cm="1">
        <f t="array" ref="T675">_xlfn.LET(_xlpm.cd,INDEX($S:$S,ROW()),IF(_xlpm.cd="","",IFERROR(_xlfn.XLOOKUP(_xlpm.cd,CostData!$C$22:$C$1000,CostData!$E$22:$E$1000,""),"")))</f>
        <v/>
      </c>
      <c r="V675" s="1" t="str" cm="1">
        <f t="array" ref="V675">IFERROR(_xlfn.XLOOKUP(1,(TRIM(CostData!$B$22:$B$1000)="Aluminium")*(TRIM(CostData!$C$22:$C$1000)="CWS")*(TRIM(CostData!$E$22:$E$1000)=TRIM($S675)),_xlfn.SWITCH(TRIM(Enginuity!$A$19),"N/A",CostData!$H$22:$H$1000,"M/B",CostData!$I$22:$I$1000,"P/C",CostData!$J$22:$J$1000,"W/G",CostData!$K$22:$K$1000,""),""),"")</f>
        <v/>
      </c>
      <c r="W675" s="400" t="str" cm="1">
        <f t="array" ref="W6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6" spans="1:23" x14ac:dyDescent="0.25">
      <c r="A676" s="275" t="s">
        <v>254</v>
      </c>
      <c r="C676" s="370" t="s">
        <v>1935</v>
      </c>
      <c r="P676" s="1" t="str" cm="1">
        <f t="array" ref="P6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6" s="1" t="str" cm="1">
        <f t="array" ref="Q676">_xlfn.LET(_xlpm.cd,INDEX($S:$S,ROW()),IF(_xlpm.cd="","",IFERROR(_xlfn.XLOOKUP(_xlpm.cd,CostData!$C$22:$C$1000,CostData!$B$22:$B$1000,""),"")))</f>
        <v/>
      </c>
      <c r="T676" s="1" t="str" cm="1">
        <f t="array" ref="T676">_xlfn.LET(_xlpm.cd,INDEX($S:$S,ROW()),IF(_xlpm.cd="","",IFERROR(_xlfn.XLOOKUP(_xlpm.cd,CostData!$C$22:$C$1000,CostData!$E$22:$E$1000,""),"")))</f>
        <v/>
      </c>
      <c r="V676" s="1" t="str" cm="1">
        <f t="array" ref="V676">IFERROR(_xlfn.XLOOKUP(1,(TRIM(CostData!$B$22:$B$1000)="Aluminium")*(TRIM(CostData!$C$22:$C$1000)="CWS")*(TRIM(CostData!$E$22:$E$1000)=TRIM($S676)),_xlfn.SWITCH(TRIM(Enginuity!$A$19),"N/A",CostData!$H$22:$H$1000,"M/B",CostData!$I$22:$I$1000,"P/C",CostData!$J$22:$J$1000,"W/G",CostData!$K$22:$K$1000,""),""),"")</f>
        <v/>
      </c>
      <c r="W676" s="400" t="str" cm="1">
        <f t="array" ref="W6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7" spans="1:23" x14ac:dyDescent="0.25">
      <c r="A677" s="275" t="s">
        <v>254</v>
      </c>
      <c r="C677" s="370" t="s">
        <v>1935</v>
      </c>
      <c r="P677" s="1" t="str" cm="1">
        <f t="array" ref="P6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7" s="1" t="s">
        <v>1833</v>
      </c>
      <c r="R677" s="16" t="str">
        <f>IF($T677="","","⬒ "&amp;$T677)</f>
        <v>⬒ Z-Louvre Blade - 5"</v>
      </c>
      <c r="T677" s="1" t="str">
        <f>IF(Enginuity!$A$20="","",Enginuity!$A$20)</f>
        <v>Z-Louvre Blade - 5"</v>
      </c>
      <c r="U677" s="1" t="s">
        <v>121</v>
      </c>
      <c r="V677" s="1">
        <f>IF(Enginuity!$B$9="","",Enginuity!$B$9)</f>
        <v>200</v>
      </c>
      <c r="W677" s="400">
        <f>IFERROR(INDEX(CostData!$Q$3:$Q$12,MATCH(TRIM(Enginuity!$A$20),CostData!$P$3:$P$12,0)),"")</f>
        <v>31.774000000000001</v>
      </c>
    </row>
    <row r="678" spans="1:23" x14ac:dyDescent="0.25">
      <c r="A678" s="275" t="s">
        <v>254</v>
      </c>
      <c r="C678" s="370" t="s">
        <v>1935</v>
      </c>
      <c r="P678" s="1" t="str" cm="1">
        <f t="array" ref="P6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8" s="1" t="str" cm="1">
        <f t="array" ref="V678">IFERROR(_xlfn.XLOOKUP(1,(TRIM(CostData!$B$22:$B$1000)="Aluminium")*(TRIM(CostData!$C$22:$C$1000)="CWS")*(TRIM(CostData!$E$22:$E$1000)=TRIM($S678)),_xlfn.SWITCH(TRIM(Enginuity!$A$19),"N/A",CostData!$H$22:$H$1000,"M/B",CostData!$I$22:$I$1000,"P/C",CostData!$J$22:$J$1000,"W/G",CostData!$K$22:$K$1000,""),""),"")</f>
        <v/>
      </c>
      <c r="W678" s="400" t="str" cm="1">
        <f t="array" ref="W678">IF(OR(TRIM(CalcEngine!$A678)&lt;&gt;TRIM(Enginuity!$A$1),TRIM(CalcEngine!$C678)&lt;&gt;TRIM(Enginuity!$A$18),CalcEngine!$V678="",CalcEngine!$V678=0),"",IFERROR(_xlfn.XLOOKUP(1,(TRIM(CostData!$B$22:$B$1000)="Aluminium")*(TRIM(CostData!$C$22:$C$1000)="CWS")*(TRIM(CostData!$E$22:$E$1000)=TRIM(CalcEngine!$T678)),_xlfn.SWITCH(TRIM(Enginuity!$A$19),"N/A",CostData!$H$22:$H$1000,"M/B",CostData!$I$22:$I$1000,"P/C",CostData!$J$22:$J$1000,"W/G",CostData!$K$22:$K$1000,""),""),""))</f>
        <v/>
      </c>
    </row>
    <row r="679" spans="1:23" x14ac:dyDescent="0.25">
      <c r="A679" s="275" t="s">
        <v>254</v>
      </c>
      <c r="C679" s="370" t="s">
        <v>1935</v>
      </c>
      <c r="P679" s="1" t="str" cm="1">
        <f t="array" ref="P6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9" s="1" t="str" cm="1">
        <f t="array" ref="V679">IFERROR(_xlfn.XLOOKUP(1,(TRIM(CostData!$B$22:$B$1000)="Aluminium")*(TRIM(CostData!$C$22:$C$1000)="CWS")*(TRIM(CostData!$E$22:$E$1000)=TRIM($S679)),_xlfn.SWITCH(TRIM(Enginuity!$A$19),"N/A",CostData!$H$22:$H$1000,"M/B",CostData!$I$22:$I$1000,"P/C",CostData!$J$22:$J$1000,"W/G",CostData!$K$22:$K$1000,""),""),"")</f>
        <v/>
      </c>
      <c r="W679" s="400" t="str" cm="1">
        <f t="array" ref="W679">IF(OR(TRIM(CalcEngine!$A679)&lt;&gt;TRIM(Enginuity!$A$1),TRIM(CalcEngine!$C679)&lt;&gt;TRIM(Enginuity!$A$18),CalcEngine!$V679="",CalcEngine!$V679=0),"",IFERROR(_xlfn.XLOOKUP(1,(TRIM(CostData!$B$22:$B$1000)="Aluminium")*(TRIM(CostData!$C$22:$C$1000)="CWS")*(TRIM(CostData!$E$22:$E$1000)=TRIM(CalcEngine!$T679)),_xlfn.SWITCH(TRIM(Enginuity!$A$19),"N/A",CostData!$H$22:$H$1000,"M/B",CostData!$I$22:$I$1000,"P/C",CostData!$J$22:$J$1000,"W/G",CostData!$K$22:$K$1000,""),""),""))</f>
        <v/>
      </c>
    </row>
    <row r="680" spans="1:23" x14ac:dyDescent="0.25">
      <c r="A680" s="275" t="s">
        <v>254</v>
      </c>
      <c r="C680" s="370" t="s">
        <v>1935</v>
      </c>
      <c r="P680" s="1" t="str" cm="1">
        <f t="array" ref="P6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0" s="1" t="str" cm="1">
        <f t="array" ref="V680">IFERROR(_xlfn.XLOOKUP(1,(TRIM(CostData!$B$22:$B$1000)="Aluminium")*(TRIM(CostData!$C$22:$C$1000)="CWS")*(TRIM(CostData!$E$22:$E$1000)=TRIM($S680)),_xlfn.SWITCH(TRIM(Enginuity!$A$19),"N/A",CostData!$H$22:$H$1000,"M/B",CostData!$I$22:$I$1000,"P/C",CostData!$J$22:$J$1000,"W/G",CostData!$K$22:$K$1000,""),""),"")</f>
        <v/>
      </c>
      <c r="W680" s="400" t="str" cm="1">
        <f t="array" ref="W680">IF(OR(TRIM(CalcEngine!$A680)&lt;&gt;TRIM(Enginuity!$A$1),TRIM(CalcEngine!$C680)&lt;&gt;TRIM(Enginuity!$A$18),CalcEngine!$V680="",CalcEngine!$V680=0),"",IFERROR(_xlfn.XLOOKUP(1,(TRIM(CostData!$B$22:$B$1000)="Aluminium")*(TRIM(CostData!$C$22:$C$1000)="CWS")*(TRIM(CostData!$E$22:$E$1000)=TRIM(CalcEngine!$T680)),_xlfn.SWITCH(TRIM(Enginuity!$A$19),"N/A",CostData!$H$22:$H$1000,"M/B",CostData!$I$22:$I$1000,"P/C",CostData!$J$22:$J$1000,"W/G",CostData!$K$22:$K$1000,""),""),""))</f>
        <v/>
      </c>
    </row>
    <row r="681" spans="1:23" x14ac:dyDescent="0.25">
      <c r="A681" s="275" t="s">
        <v>254</v>
      </c>
      <c r="C681" s="370" t="s">
        <v>1935</v>
      </c>
      <c r="P681" s="1" t="str" cm="1">
        <f t="array" ref="P6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1" s="1" t="str" cm="1">
        <f t="array" ref="V681">IFERROR(_xlfn.XLOOKUP(1,(TRIM(CostData!$B$22:$B$1000)="Aluminium")*(TRIM(CostData!$C$22:$C$1000)="CWS")*(TRIM(CostData!$E$22:$E$1000)=TRIM($S681)),_xlfn.SWITCH(TRIM(Enginuity!$A$19),"N/A",CostData!$H$22:$H$1000,"M/B",CostData!$I$22:$I$1000,"P/C",CostData!$J$22:$J$1000,"W/G",CostData!$K$22:$K$1000,""),""),"")</f>
        <v/>
      </c>
      <c r="W681" s="400" t="str" cm="1">
        <f t="array" ref="W681">IF(OR(TRIM(CalcEngine!$A681)&lt;&gt;TRIM(Enginuity!$A$1),TRIM(CalcEngine!$C681)&lt;&gt;TRIM(Enginuity!$A$18),CalcEngine!$V681="",CalcEngine!$V681=0),"",IFERROR(_xlfn.XLOOKUP(1,(TRIM(CostData!$B$22:$B$1000)="Aluminium")*(TRIM(CostData!$C$22:$C$1000)="CWS")*(TRIM(CostData!$E$22:$E$1000)=TRIM(CalcEngine!$T681)),_xlfn.SWITCH(TRIM(Enginuity!$A$19),"N/A",CostData!$H$22:$H$1000,"M/B",CostData!$I$22:$I$1000,"P/C",CostData!$J$22:$J$1000,"W/G",CostData!$K$22:$K$1000,""),""),""))</f>
        <v/>
      </c>
    </row>
    <row r="682" spans="1:23" x14ac:dyDescent="0.25">
      <c r="A682" s="275" t="s">
        <v>254</v>
      </c>
      <c r="C682" s="370" t="s">
        <v>1935</v>
      </c>
      <c r="P682" s="1" t="str" cm="1">
        <f t="array" ref="P6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82" s="400"/>
    </row>
    <row r="683" spans="1:23" x14ac:dyDescent="0.25">
      <c r="A683" s="275" t="s">
        <v>254</v>
      </c>
      <c r="C683" s="370" t="s">
        <v>1935</v>
      </c>
      <c r="P683" s="1" t="str" cm="1">
        <f t="array" ref="P6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3" s="1" t="str">
        <f>IF($S683="","",IFERROR(_xlfn.XLOOKUP($S683,CostData!$U$22:$U$1000,CostData!$T$22:$T$1000,""),""))</f>
        <v>Hinge</v>
      </c>
      <c r="R683" s="16" t="str">
        <f>IF($S683="","",$T683)</f>
        <v>Hung Friction Stay</v>
      </c>
      <c r="S683" s="24" t="s">
        <v>1880</v>
      </c>
      <c r="T683" s="1" t="str" cm="1">
        <f t="array" ref="T683">_xlfn.LET(_xlpm.cd,INDEX($S:$S,ROW()),IF(_xlpm.cd="","",IFERROR(_xlfn.XLOOKUP(_xlpm.cd,CostData!$U$22:$U$1000,CostData!$W$22:$W$1000,""),"")))</f>
        <v>Hung Friction Stay</v>
      </c>
      <c r="U683" s="1" t="str">
        <f>IF($S683="","",IFERROR(_xlfn.XLOOKUP($S683,CostData!$U$22:$U$1000,CostData!$AA$22:$AA$1000,""),""))</f>
        <v>Pair</v>
      </c>
      <c r="V683" s="1" t="str" cm="1">
        <f t="array" ref="V6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83" s="400" t="str" cm="1">
        <f t="array" ref="W6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4" spans="1:23" x14ac:dyDescent="0.25">
      <c r="A684" s="275" t="s">
        <v>254</v>
      </c>
      <c r="C684" s="370" t="s">
        <v>1935</v>
      </c>
      <c r="P684" s="1" t="str" cm="1">
        <f t="array" ref="P6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4" s="1" t="str">
        <f>IF($S684="","",IFERROR(_xlfn.XLOOKUP($S684,CostData!$U$22:$U$1000,CostData!$T$22:$T$1000,""),""))</f>
        <v>Hinge</v>
      </c>
      <c r="R684" s="16" t="str">
        <f>IF($S684="","",$T684)</f>
        <v>Casement Friction Stay</v>
      </c>
      <c r="S684" s="24" t="s">
        <v>1879</v>
      </c>
      <c r="T684" s="1" t="str" cm="1">
        <f t="array" ref="T684">_xlfn.LET(_xlpm.cd,INDEX($S:$S,ROW()),IF(_xlpm.cd="","",IFERROR(_xlfn.XLOOKUP(_xlpm.cd,CostData!$U$22:$U$1000,CostData!$W$22:$W$1000,""),"")))</f>
        <v>Casement Friction Stay</v>
      </c>
      <c r="U684" s="1" t="str">
        <f>IF($S684="","",IFERROR(_xlfn.XLOOKUP($S684,CostData!$U$22:$U$1000,CostData!$AA$22:$AA$1000,""),""))</f>
        <v>Pair</v>
      </c>
      <c r="V684" s="1">
        <f>IF(Enginuity!$B$13&gt;0,Enginuity!$B$13,"")</f>
        <v>7</v>
      </c>
      <c r="W684" s="400" t="str" cm="1">
        <f t="array" ref="W6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5" spans="1:23" x14ac:dyDescent="0.25">
      <c r="A685" s="275" t="s">
        <v>254</v>
      </c>
      <c r="C685" s="370" t="s">
        <v>1935</v>
      </c>
      <c r="P685" s="1" t="str" cm="1">
        <f t="array" ref="P6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5" s="1" t="str">
        <f>IF($S685="","",IFERROR(_xlfn.XLOOKUP($S685,CostData!$U$22:$U$1000,CostData!$T$22:$T$1000,""),""))</f>
        <v>Handle</v>
      </c>
      <c r="R685" s="16" t="str">
        <f>IF($S685="","",$T685)</f>
        <v>Casement Handle</v>
      </c>
      <c r="S685" s="24" t="s">
        <v>113</v>
      </c>
      <c r="T685" s="1" t="str" cm="1">
        <f t="array" ref="T685">_xlfn.LET(_xlpm.cd,INDEX($S:$S,ROW()),IF(_xlpm.cd="","",IFERROR(_xlfn.XLOOKUP(_xlpm.cd,CostData!$U$22:$U$1000,CostData!$W$22:$W$1000,""),"")))</f>
        <v>Casement Handle</v>
      </c>
      <c r="U685" s="1" t="str">
        <f>IF($S685="","",IFERROR(_xlfn.XLOOKUP($S685,CostData!$U$22:$U$1000,CostData!$AA$22:$AA$1000,""),""))</f>
        <v>Pcs</v>
      </c>
      <c r="V685" s="1" cm="1">
        <f t="array" ref="V6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7</v>
      </c>
      <c r="W685" s="400" t="str" cm="1">
        <f t="array" ref="W6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6" spans="1:23" x14ac:dyDescent="0.25">
      <c r="A686" s="275" t="s">
        <v>254</v>
      </c>
      <c r="C686" s="370" t="s">
        <v>1935</v>
      </c>
      <c r="P686" s="1" t="str" cm="1">
        <f t="array" ref="P6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6" s="1" t="str">
        <f>IF($S686="","",IFERROR(_xlfn.XLOOKUP($S686,CostData!$U$22:$U$1000,CostData!$T$22:$T$1000,""),""))</f>
        <v>Black Tape</v>
      </c>
      <c r="R686" s="16" t="str">
        <f>IF($S686="","",$T686)</f>
        <v>2.5" x 2 Black Tape</v>
      </c>
      <c r="S686" s="24" t="s">
        <v>1898</v>
      </c>
      <c r="T686" s="1" t="str" cm="1">
        <f t="array" ref="T686">_xlfn.LET(_xlpm.cd,INDEX($S:$S,ROW()),IF(_xlpm.cd="","",IFERROR(_xlfn.XLOOKUP(_xlpm.cd,CostData!$U$22:$U$1000,CostData!$W$22:$W$1000,""),"")))</f>
        <v>2.5" x 2 Black Tape</v>
      </c>
      <c r="U686" s="1" t="str">
        <f>IF($S686="","",IFERROR(_xlfn.XLOOKUP($S686,CostData!$U$22:$U$1000,CostData!$AA$22:$AA$1000,""),""))</f>
        <v>Ft</v>
      </c>
      <c r="V686" s="1">
        <f>IF(SUM($V$61:$V$64)=0,"",SUM($V$61:$V$64))</f>
        <v>440</v>
      </c>
      <c r="W686" s="400" t="str" cm="1">
        <f t="array" ref="W6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7" spans="1:23" x14ac:dyDescent="0.25">
      <c r="A687" s="275" t="s">
        <v>254</v>
      </c>
      <c r="C687" s="370" t="s">
        <v>1935</v>
      </c>
      <c r="P687" s="1" t="str" cm="1">
        <f t="array" ref="P6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7" s="1" t="str">
        <f>IF($S687="","",IFERROR(_xlfn.XLOOKUP($S687,CostData!$U$22:$U$1000,CostData!$T$22:$T$1000,""),""))</f>
        <v>Gasket</v>
      </c>
      <c r="R687" s="16" t="s">
        <v>1931</v>
      </c>
      <c r="S687" s="24" t="s">
        <v>1912</v>
      </c>
      <c r="T687" s="1" t="str" cm="1">
        <f t="array" ref="T687">_xlfn.LET(_xlpm.cd,INDEX($S:$S,ROW()),IF(_xlpm.cd="","",IFERROR(_xlfn.XLOOKUP(_xlpm.cd,CostData!$U$22:$U$1000,CostData!$W$22:$W$1000,""),"")))</f>
        <v>F18 Gasket</v>
      </c>
      <c r="U687" s="1" t="str">
        <f>IF($S687="","",IFERROR(_xlfn.XLOOKUP($S687,CostData!$U$22:$U$1000,CostData!$AA$22:$AA$1000,""),""))</f>
        <v>Ft</v>
      </c>
      <c r="V687" s="1">
        <f>IF($V$61="","",$V$61)</f>
        <v>200</v>
      </c>
      <c r="W687" s="400" t="str" cm="1">
        <f t="array" ref="W6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8" spans="1:23" x14ac:dyDescent="0.25">
      <c r="A688" s="275" t="s">
        <v>254</v>
      </c>
      <c r="C688" s="370" t="s">
        <v>1935</v>
      </c>
      <c r="P688" s="1" t="str" cm="1">
        <f t="array" ref="P6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8" s="1" t="str">
        <f>IF($S688="","",IFERROR(_xlfn.XLOOKUP($S688,CostData!$U$22:$U$1000,CostData!$T$22:$T$1000,""),""))</f>
        <v>Gasket</v>
      </c>
      <c r="R688" s="16" t="s">
        <v>1932</v>
      </c>
      <c r="S688" s="24" t="s">
        <v>1916</v>
      </c>
      <c r="T688" s="1" t="str" cm="1">
        <f t="array" ref="T688">_xlfn.LET(_xlpm.cd,INDEX($S:$S,ROW()),IF(_xlpm.cd="","",IFERROR(_xlfn.XLOOKUP(_xlpm.cd,CostData!$U$22:$U$1000,CostData!$W$22:$W$1000,""),"")))</f>
        <v>F16S Gasket</v>
      </c>
      <c r="U688" s="1" t="str">
        <f>IF($S688="","",IFERROR(_xlfn.XLOOKUP($S688,CostData!$U$22:$U$1000,CostData!$AA$22:$AA$1000,""),""))</f>
        <v>Ft</v>
      </c>
      <c r="V688" s="1">
        <f>IF($V$62="","",$V$62)</f>
        <v>180</v>
      </c>
      <c r="W688" s="400" t="str" cm="1">
        <f t="array" ref="W6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9" spans="1:23" x14ac:dyDescent="0.25">
      <c r="A689" s="275" t="s">
        <v>254</v>
      </c>
      <c r="C689" s="370" t="s">
        <v>1935</v>
      </c>
      <c r="P689" s="1" t="str" cm="1">
        <f t="array" ref="P6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9" s="1" t="str">
        <f>IF($S689="","",IFERROR(_xlfn.XLOOKUP($S689,CostData!$U$22:$U$1000,CostData!$T$22:$T$1000,""),""))</f>
        <v>Gasket</v>
      </c>
      <c r="R689" s="16" t="s">
        <v>1930</v>
      </c>
      <c r="S689" s="24">
        <v>6154</v>
      </c>
      <c r="T689" s="1" t="str" cm="1">
        <f t="array" ref="T689">_xlfn.LET(_xlpm.cd,INDEX($S:$S,ROW()),IF(_xlpm.cd="","",IFERROR(_xlfn.XLOOKUP(_xlpm.cd,CostData!$U$22:$U$1000,CostData!$W$22:$W$1000,""),"")))</f>
        <v>6154 Gasket</v>
      </c>
      <c r="U689" s="1" t="str">
        <f>IF($S689="","",IFERROR(_xlfn.XLOOKUP($S689,CostData!$U$22:$U$1000,CostData!$AA$22:$AA$1000,""),""))</f>
        <v>Ft</v>
      </c>
      <c r="V689" s="1">
        <f>IF($V$62="","",$V$62)</f>
        <v>180</v>
      </c>
      <c r="W689" s="400" t="str" cm="1">
        <f t="array" ref="W6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90" spans="1:23" x14ac:dyDescent="0.25">
      <c r="A690" s="412" t="s">
        <v>254</v>
      </c>
      <c r="B690" s="399"/>
      <c r="C690" s="399" t="s">
        <v>1935</v>
      </c>
      <c r="D690" s="39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401"/>
      <c r="Q690" s="401" t="str">
        <f>IF($S690="","",IFERROR(_xlfn.XLOOKUP($S690,CostData!$U$22:$U$1000,CostData!$T$22:$T$1000,""),""))</f>
        <v>Gasket</v>
      </c>
      <c r="R690" s="429" t="s">
        <v>1933</v>
      </c>
      <c r="S690" s="418">
        <v>6154</v>
      </c>
      <c r="T690" s="401" t="str" cm="1">
        <f t="array" ref="T690">_xlfn.LET(_xlpm.cd,INDEX($S:$S,ROW()),IF(_xlpm.cd="","",IFERROR(_xlfn.XLOOKUP(_xlpm.cd,CostData!$U$22:$U$1000,CostData!$W$22:$W$1000,""),"")))</f>
        <v>6154 Gasket</v>
      </c>
      <c r="U690" s="401" t="str">
        <f>IF($S690="","",IFERROR(_xlfn.XLOOKUP($S690,CostData!$U$22:$U$1000,CostData!$AA$22:$AA$1000,""),""))</f>
        <v>Ft</v>
      </c>
      <c r="V690" s="401">
        <f>IF(SUM($V$63:$V$64)=0,"",SUM($V$63:$V$64)*2)</f>
        <v>120</v>
      </c>
      <c r="W690" s="413" t="str" cm="1">
        <f t="array" ref="W6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347" activePane="bottomLeft" state="frozen"/>
      <selection pane="bottomLeft" activeCell="H26" sqref="H26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13.5703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1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1789</v>
      </c>
      <c r="B1" s="370" t="s">
        <v>1694</v>
      </c>
    </row>
    <row r="2" spans="1:17" x14ac:dyDescent="0.25">
      <c r="A2" s="370" t="s">
        <v>1798</v>
      </c>
      <c r="B2" s="394">
        <v>22.1</v>
      </c>
      <c r="D2" s="1" t="s">
        <v>1821</v>
      </c>
      <c r="E2" s="1" t="s">
        <v>1822</v>
      </c>
      <c r="F2" s="300" t="s">
        <v>1823</v>
      </c>
      <c r="G2" s="300" t="s">
        <v>1824</v>
      </c>
      <c r="P2" s="1" t="s">
        <v>975</v>
      </c>
      <c r="Q2" s="1" t="s">
        <v>141</v>
      </c>
    </row>
    <row r="3" spans="1:17" x14ac:dyDescent="0.25">
      <c r="A3" s="370" t="s">
        <v>1799</v>
      </c>
      <c r="B3" s="394">
        <v>24.7</v>
      </c>
      <c r="D3" s="1" t="s">
        <v>1825</v>
      </c>
      <c r="E3" s="1" t="s">
        <v>1826</v>
      </c>
      <c r="F3" s="300" t="s">
        <v>1794</v>
      </c>
      <c r="G3" s="300" t="s">
        <v>1792</v>
      </c>
      <c r="P3" t="s">
        <v>977</v>
      </c>
      <c r="Q3" s="5">
        <v>3.9</v>
      </c>
    </row>
    <row r="4" spans="1:17" x14ac:dyDescent="0.25">
      <c r="A4" s="370" t="s">
        <v>1800</v>
      </c>
      <c r="B4" s="394">
        <v>19.899999999999999</v>
      </c>
      <c r="D4" s="1" t="s">
        <v>1827</v>
      </c>
      <c r="E4" s="1" t="s">
        <v>1828</v>
      </c>
      <c r="F4" s="300" t="s">
        <v>1792</v>
      </c>
      <c r="G4" s="300" t="s">
        <v>1794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28.661999999999999</v>
      </c>
    </row>
    <row r="5" spans="1:17" x14ac:dyDescent="0.25">
      <c r="A5" s="370" t="s">
        <v>1801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31.774000000000001</v>
      </c>
    </row>
    <row r="6" spans="1:17" x14ac:dyDescent="0.25">
      <c r="A6" s="370" t="s">
        <v>1802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70" t="s">
        <v>1803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70" t="s">
        <v>1804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70" t="s">
        <v>1805</v>
      </c>
      <c r="B9" s="2" t="s">
        <v>1827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70" t="s">
        <v>1816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70" t="s">
        <v>1817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70" t="s">
        <v>1806</v>
      </c>
      <c r="B12" s="2" t="s">
        <v>1828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70" t="s">
        <v>1818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1819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1807</v>
      </c>
      <c r="B15" s="2" t="s">
        <v>1794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1808</v>
      </c>
      <c r="B16" s="2" t="s">
        <v>1794</v>
      </c>
    </row>
    <row r="17" spans="1:29" x14ac:dyDescent="0.25">
      <c r="A17" s="370" t="s">
        <v>1820</v>
      </c>
      <c r="B17" s="396">
        <v>0.05</v>
      </c>
    </row>
    <row r="18" spans="1:29" x14ac:dyDescent="0.25">
      <c r="A18" s="370" t="s">
        <v>1857</v>
      </c>
      <c r="B18" s="396">
        <v>0.03</v>
      </c>
    </row>
    <row r="19" spans="1:29" x14ac:dyDescent="0.25">
      <c r="A19" s="390" t="s">
        <v>1813</v>
      </c>
      <c r="O19" s="390" t="s">
        <v>1833</v>
      </c>
      <c r="S19" s="414" t="s">
        <v>1856</v>
      </c>
    </row>
    <row r="20" spans="1:29" x14ac:dyDescent="0.25">
      <c r="A20" s="392" t="s">
        <v>1809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1810</v>
      </c>
      <c r="C21" s="1" t="s">
        <v>1756</v>
      </c>
      <c r="D21" s="1" t="s">
        <v>1797</v>
      </c>
      <c r="E21" s="1" t="s">
        <v>1790</v>
      </c>
      <c r="F21" s="300" t="s">
        <v>1489</v>
      </c>
      <c r="G21" s="300" t="s">
        <v>1791</v>
      </c>
      <c r="H21" s="2" t="s">
        <v>1792</v>
      </c>
      <c r="I21" s="2" t="s">
        <v>1793</v>
      </c>
      <c r="J21" s="2" t="s">
        <v>1814</v>
      </c>
      <c r="K21" s="2" t="s">
        <v>1815</v>
      </c>
      <c r="L21" s="1" t="s">
        <v>1795</v>
      </c>
      <c r="M21" s="1" t="s">
        <v>1796</v>
      </c>
      <c r="O21" s="1" t="s">
        <v>175</v>
      </c>
      <c r="P21" s="4" t="s">
        <v>1790</v>
      </c>
      <c r="Q21" s="6" t="s">
        <v>141</v>
      </c>
      <c r="S21" s="1" t="s">
        <v>175</v>
      </c>
      <c r="T21" s="1" t="s">
        <v>1810</v>
      </c>
      <c r="U21" s="1" t="s">
        <v>1756</v>
      </c>
      <c r="V21" s="16" t="s">
        <v>1797</v>
      </c>
      <c r="W21" s="1" t="s">
        <v>1790</v>
      </c>
      <c r="X21" s="1" t="s">
        <v>1851</v>
      </c>
      <c r="Y21" s="1" t="s">
        <v>1852</v>
      </c>
      <c r="Z21" s="26" t="s">
        <v>1853</v>
      </c>
      <c r="AA21" s="1" t="s">
        <v>1854</v>
      </c>
      <c r="AB21" s="26" t="s">
        <v>1876</v>
      </c>
      <c r="AC21" s="26" t="s">
        <v>1855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1811</v>
      </c>
      <c r="C22" s="370" t="s">
        <v>1975</v>
      </c>
      <c r="D22" s="1" t="s">
        <v>1976</v>
      </c>
      <c r="E22" s="1" t="s">
        <v>1976</v>
      </c>
      <c r="F22" s="300">
        <v>0.21199999999999999</v>
      </c>
      <c r="G22" s="300">
        <v>101.6</v>
      </c>
      <c r="H22" s="394">
        <f t="shared" ref="H22:H51" si="0">IF($C22="","",ROUND((($B$2*$F22*($B$5/1000))/$B$6)*(1+IF($B$18="",0,$B$18)),2))</f>
        <v>1.47</v>
      </c>
      <c r="I22" s="394">
        <f t="shared" ref="I22:I51" si="1">IF($C22="","",ROUND((($B$3*$F22*($B$5/1000))/$B$6)*(1+IF($B$18="",0,$B$18)),2))</f>
        <v>1.64</v>
      </c>
      <c r="J22" s="394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4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1890</v>
      </c>
      <c r="U22" s="1" t="s">
        <v>1891</v>
      </c>
      <c r="V22" s="16" t="s">
        <v>1890</v>
      </c>
      <c r="W22" s="370" t="s">
        <v>1892</v>
      </c>
      <c r="X22" s="370" t="s">
        <v>1893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IF($AB22&lt;&gt;"",$AB22,IFERROR(ROUNDUP($Z22/$Y22,1),""))</f>
        <v>0.1</v>
      </c>
    </row>
    <row r="23" spans="1:29" x14ac:dyDescent="0.25">
      <c r="A23" s="370">
        <v>2</v>
      </c>
      <c r="B23" s="370" t="s">
        <v>1811</v>
      </c>
      <c r="C23" s="16" t="s">
        <v>1953</v>
      </c>
      <c r="D23" s="1" t="s">
        <v>1946</v>
      </c>
      <c r="E23" s="1" t="s">
        <v>1946</v>
      </c>
      <c r="F23" s="300">
        <v>0.186</v>
      </c>
      <c r="G23" s="300">
        <v>121.97</v>
      </c>
      <c r="H23" s="394">
        <f t="shared" si="0"/>
        <v>1.29</v>
      </c>
      <c r="I23" s="394">
        <f t="shared" si="1"/>
        <v>1.44</v>
      </c>
      <c r="J23" s="394">
        <f t="shared" si="2"/>
        <v>1.79</v>
      </c>
      <c r="K23" s="394">
        <f t="shared" si="3"/>
        <v>3.14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1890</v>
      </c>
      <c r="U23" s="1" t="s">
        <v>1894</v>
      </c>
      <c r="V23" s="16" t="s">
        <v>1890</v>
      </c>
      <c r="W23" s="370" t="s">
        <v>1895</v>
      </c>
      <c r="X23" s="370" t="s">
        <v>1893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8" si="4">IF($AB23&lt;&gt;"",$AB23,IFERROR(ROUNDUP($Z23/$Y23,1),""))</f>
        <v>0.2</v>
      </c>
    </row>
    <row r="24" spans="1:29" x14ac:dyDescent="0.25">
      <c r="A24" s="370">
        <v>3</v>
      </c>
      <c r="B24" s="370" t="s">
        <v>1811</v>
      </c>
      <c r="C24" s="16" t="s">
        <v>1953</v>
      </c>
      <c r="D24" s="1" t="s">
        <v>1946</v>
      </c>
      <c r="E24" s="1" t="s">
        <v>1946</v>
      </c>
      <c r="F24" s="300">
        <v>0.186</v>
      </c>
      <c r="G24" s="300">
        <v>121.97</v>
      </c>
      <c r="H24" s="394">
        <f t="shared" si="0"/>
        <v>1.29</v>
      </c>
      <c r="I24" s="394">
        <f t="shared" si="1"/>
        <v>1.44</v>
      </c>
      <c r="J24" s="394">
        <f t="shared" si="2"/>
        <v>1.79</v>
      </c>
      <c r="K24" s="394">
        <f t="shared" si="3"/>
        <v>3.14</v>
      </c>
      <c r="O24" s="370">
        <v>3</v>
      </c>
      <c r="P24" t="s">
        <v>1000</v>
      </c>
      <c r="Q24" s="5">
        <v>5.6</v>
      </c>
      <c r="S24" s="1">
        <v>3</v>
      </c>
      <c r="T24" s="370" t="s">
        <v>1890</v>
      </c>
      <c r="U24" s="1" t="s">
        <v>1896</v>
      </c>
      <c r="V24" s="16" t="s">
        <v>1890</v>
      </c>
      <c r="W24" s="370" t="s">
        <v>1897</v>
      </c>
      <c r="X24" s="370" t="s">
        <v>1893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0.2</v>
      </c>
    </row>
    <row r="25" spans="1:29" x14ac:dyDescent="0.25">
      <c r="A25" s="370">
        <v>4</v>
      </c>
      <c r="B25" s="370" t="s">
        <v>1811</v>
      </c>
      <c r="C25" s="370" t="s">
        <v>1940</v>
      </c>
      <c r="D25" s="1" t="s">
        <v>1946</v>
      </c>
      <c r="E25" s="1" t="s">
        <v>1946</v>
      </c>
      <c r="F25" s="300">
        <v>0.20200000000000001</v>
      </c>
      <c r="G25" s="300">
        <v>141.24</v>
      </c>
      <c r="H25" s="394">
        <f t="shared" si="0"/>
        <v>1.4</v>
      </c>
      <c r="I25" s="394">
        <f t="shared" si="1"/>
        <v>1.57</v>
      </c>
      <c r="J25" s="394">
        <f t="shared" si="2"/>
        <v>1.99</v>
      </c>
      <c r="K25" s="394">
        <f t="shared" si="3"/>
        <v>3.55</v>
      </c>
      <c r="O25" s="370">
        <v>4</v>
      </c>
      <c r="P25" t="s">
        <v>980</v>
      </c>
      <c r="Q25" s="5">
        <v>1.8</v>
      </c>
      <c r="S25" s="1">
        <v>4</v>
      </c>
      <c r="T25" s="370" t="s">
        <v>1890</v>
      </c>
      <c r="U25" s="1" t="s">
        <v>1898</v>
      </c>
      <c r="V25" s="16" t="s">
        <v>1890</v>
      </c>
      <c r="W25" s="370" t="s">
        <v>1899</v>
      </c>
      <c r="X25" s="370" t="s">
        <v>1893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0.2</v>
      </c>
    </row>
    <row r="26" spans="1:29" x14ac:dyDescent="0.25">
      <c r="A26" s="370">
        <v>5</v>
      </c>
      <c r="B26" s="370" t="s">
        <v>1811</v>
      </c>
      <c r="C26" s="370" t="s">
        <v>1995</v>
      </c>
      <c r="D26" s="1" t="s">
        <v>2000</v>
      </c>
      <c r="E26" s="1" t="s">
        <v>2000</v>
      </c>
      <c r="F26" s="300">
        <v>0.19400000000000001</v>
      </c>
      <c r="G26" s="300">
        <v>144.18</v>
      </c>
      <c r="H26" s="394">
        <f t="shared" si="0"/>
        <v>1.35</v>
      </c>
      <c r="I26" s="394">
        <f t="shared" si="1"/>
        <v>1.5</v>
      </c>
      <c r="J26" s="394">
        <f t="shared" si="2"/>
        <v>1.95</v>
      </c>
      <c r="K26" s="394">
        <f t="shared" si="3"/>
        <v>3.55</v>
      </c>
      <c r="O26" s="370">
        <v>5</v>
      </c>
      <c r="P26" t="s">
        <v>994</v>
      </c>
      <c r="Q26" s="5">
        <v>6.1</v>
      </c>
      <c r="S26" s="1">
        <v>5</v>
      </c>
      <c r="T26" s="370" t="s">
        <v>1890</v>
      </c>
      <c r="U26" s="1" t="s">
        <v>1900</v>
      </c>
      <c r="V26" s="16" t="s">
        <v>1890</v>
      </c>
      <c r="W26" s="370" t="s">
        <v>1901</v>
      </c>
      <c r="X26" s="370" t="s">
        <v>1893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0.30000000000000004</v>
      </c>
    </row>
    <row r="27" spans="1:29" x14ac:dyDescent="0.25">
      <c r="A27" s="370">
        <v>6</v>
      </c>
      <c r="B27" s="370" t="s">
        <v>1811</v>
      </c>
      <c r="C27" s="370" t="s">
        <v>1929</v>
      </c>
      <c r="D27" s="1" t="s">
        <v>114</v>
      </c>
      <c r="E27" s="1" t="s">
        <v>114</v>
      </c>
      <c r="F27" s="300">
        <v>0.19600000000000001</v>
      </c>
      <c r="G27" s="300">
        <v>150.05000000000001</v>
      </c>
      <c r="H27" s="394">
        <f t="shared" si="0"/>
        <v>1.36</v>
      </c>
      <c r="I27" s="394">
        <f t="shared" si="1"/>
        <v>1.52</v>
      </c>
      <c r="J27" s="394">
        <f t="shared" si="2"/>
        <v>1.99</v>
      </c>
      <c r="K27" s="394">
        <f t="shared" si="3"/>
        <v>3.65</v>
      </c>
      <c r="O27" s="370">
        <v>6</v>
      </c>
      <c r="P27" t="s">
        <v>1032</v>
      </c>
      <c r="Q27" s="5">
        <v>2.9</v>
      </c>
      <c r="S27" s="1">
        <v>6</v>
      </c>
      <c r="T27" s="370" t="s">
        <v>1890</v>
      </c>
      <c r="U27" s="1" t="s">
        <v>1902</v>
      </c>
      <c r="V27" s="16" t="s">
        <v>1890</v>
      </c>
      <c r="W27" s="370" t="s">
        <v>1903</v>
      </c>
      <c r="X27" s="370" t="s">
        <v>1893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0.30000000000000004</v>
      </c>
    </row>
    <row r="28" spans="1:29" x14ac:dyDescent="0.25">
      <c r="A28" s="370">
        <v>7</v>
      </c>
      <c r="B28" s="370" t="s">
        <v>1811</v>
      </c>
      <c r="C28" s="370" t="s">
        <v>1967</v>
      </c>
      <c r="D28" s="1" t="s">
        <v>1968</v>
      </c>
      <c r="E28" s="1" t="s">
        <v>1968</v>
      </c>
      <c r="F28" s="300">
        <v>0.36299999999999999</v>
      </c>
      <c r="G28" s="300">
        <v>152.4</v>
      </c>
      <c r="H28" s="394">
        <f t="shared" si="0"/>
        <v>2.52</v>
      </c>
      <c r="I28" s="394">
        <f t="shared" si="1"/>
        <v>2.81</v>
      </c>
      <c r="J28" s="394">
        <f t="shared" si="2"/>
        <v>3.1</v>
      </c>
      <c r="K28" s="394">
        <f t="shared" si="3"/>
        <v>4.79</v>
      </c>
      <c r="O28" s="370">
        <v>7</v>
      </c>
      <c r="P28" t="s">
        <v>1334</v>
      </c>
      <c r="Q28" s="5">
        <v>4.25</v>
      </c>
      <c r="S28" s="1">
        <v>7</v>
      </c>
      <c r="T28" s="370" t="s">
        <v>1890</v>
      </c>
      <c r="U28" s="1" t="s">
        <v>1904</v>
      </c>
      <c r="V28" s="16" t="s">
        <v>1890</v>
      </c>
      <c r="W28" s="370" t="s">
        <v>1905</v>
      </c>
      <c r="X28" s="370" t="s">
        <v>1893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0.4</v>
      </c>
    </row>
    <row r="29" spans="1:29" x14ac:dyDescent="0.25">
      <c r="A29" s="370">
        <v>8</v>
      </c>
      <c r="B29" s="370" t="s">
        <v>1811</v>
      </c>
      <c r="C29" s="370" t="s">
        <v>1948</v>
      </c>
      <c r="D29" s="1" t="s">
        <v>1946</v>
      </c>
      <c r="E29" s="1" t="s">
        <v>1946</v>
      </c>
      <c r="F29" s="300">
        <v>0.28100000000000003</v>
      </c>
      <c r="G29" s="300">
        <v>166.19</v>
      </c>
      <c r="H29" s="394">
        <f t="shared" si="0"/>
        <v>1.95</v>
      </c>
      <c r="I29" s="394">
        <f t="shared" si="1"/>
        <v>2.1800000000000002</v>
      </c>
      <c r="J29" s="394">
        <f t="shared" si="2"/>
        <v>2.63</v>
      </c>
      <c r="K29" s="394">
        <f t="shared" si="3"/>
        <v>4.47</v>
      </c>
      <c r="O29" s="370">
        <v>8</v>
      </c>
      <c r="P29" t="s">
        <v>986</v>
      </c>
      <c r="Q29" s="5">
        <v>4.25</v>
      </c>
      <c r="S29" s="1">
        <v>8</v>
      </c>
      <c r="T29" s="370" t="s">
        <v>1875</v>
      </c>
      <c r="U29" s="1">
        <v>2566</v>
      </c>
      <c r="V29" s="16" t="s">
        <v>1883</v>
      </c>
      <c r="W29" s="370" t="s">
        <v>1884</v>
      </c>
      <c r="X29" s="370" t="s">
        <v>1882</v>
      </c>
      <c r="Y29" s="370">
        <v>501.96852000000001</v>
      </c>
      <c r="Z29" s="1">
        <v>102.6</v>
      </c>
      <c r="AA29" s="1" t="s">
        <v>103</v>
      </c>
      <c r="AC29" s="26">
        <f t="shared" si="4"/>
        <v>0.30000000000000004</v>
      </c>
    </row>
    <row r="30" spans="1:29" x14ac:dyDescent="0.25">
      <c r="A30" s="370">
        <v>9</v>
      </c>
      <c r="B30" s="370" t="s">
        <v>1811</v>
      </c>
      <c r="C30" s="370" t="s">
        <v>1966</v>
      </c>
      <c r="D30" s="1" t="s">
        <v>1968</v>
      </c>
      <c r="E30" s="1" t="s">
        <v>1968</v>
      </c>
      <c r="F30" s="300">
        <v>0.48699999999999999</v>
      </c>
      <c r="G30" s="300">
        <v>203.2</v>
      </c>
      <c r="H30" s="394">
        <f t="shared" si="0"/>
        <v>3.38</v>
      </c>
      <c r="I30" s="394">
        <f t="shared" si="1"/>
        <v>3.78</v>
      </c>
      <c r="J30" s="394">
        <f t="shared" si="2"/>
        <v>4.16</v>
      </c>
      <c r="K30" s="394">
        <f t="shared" si="3"/>
        <v>6.41</v>
      </c>
      <c r="O30" s="370">
        <v>9</v>
      </c>
      <c r="P30" t="s">
        <v>1030</v>
      </c>
      <c r="Q30" s="5">
        <v>2.5</v>
      </c>
      <c r="S30" s="1">
        <v>9</v>
      </c>
      <c r="T30" s="370" t="s">
        <v>1875</v>
      </c>
      <c r="U30" s="1">
        <v>2152</v>
      </c>
      <c r="W30" s="370" t="s">
        <v>1906</v>
      </c>
      <c r="X30" s="370" t="s">
        <v>1882</v>
      </c>
      <c r="Y30" s="370">
        <v>501.96852000000001</v>
      </c>
      <c r="Z30" s="1">
        <v>48</v>
      </c>
      <c r="AA30" s="1" t="s">
        <v>103</v>
      </c>
      <c r="AC30" s="26">
        <f t="shared" si="4"/>
        <v>0.1</v>
      </c>
    </row>
    <row r="31" spans="1:29" x14ac:dyDescent="0.25">
      <c r="A31" s="370">
        <v>10</v>
      </c>
      <c r="B31" s="370" t="s">
        <v>1811</v>
      </c>
      <c r="C31" s="370" t="s">
        <v>1926</v>
      </c>
      <c r="D31" s="1" t="s">
        <v>1812</v>
      </c>
      <c r="E31" s="1" t="s">
        <v>1812</v>
      </c>
      <c r="F31" s="300">
        <v>0.32800000000000001</v>
      </c>
      <c r="G31" s="300">
        <v>231.88</v>
      </c>
      <c r="H31" s="394">
        <f t="shared" si="0"/>
        <v>2.2799999999999998</v>
      </c>
      <c r="I31" s="394">
        <f t="shared" si="1"/>
        <v>2.54</v>
      </c>
      <c r="J31" s="394">
        <f t="shared" si="2"/>
        <v>3.24</v>
      </c>
      <c r="K31" s="394">
        <f t="shared" si="3"/>
        <v>5.81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1875</v>
      </c>
      <c r="U31" s="1">
        <v>6154</v>
      </c>
      <c r="V31" s="16" t="s">
        <v>1885</v>
      </c>
      <c r="W31" s="370" t="s">
        <v>1877</v>
      </c>
      <c r="X31" s="370" t="s">
        <v>1882</v>
      </c>
      <c r="Y31" s="370">
        <v>501.96852000000001</v>
      </c>
      <c r="Z31" s="1">
        <v>144</v>
      </c>
      <c r="AA31" s="1" t="s">
        <v>103</v>
      </c>
      <c r="AC31" s="370">
        <f>IF($AB31&lt;&gt;"",$AB31,IFERROR(ROUNDUP($Z31/$Y31,1),""))</f>
        <v>0.30000000000000004</v>
      </c>
    </row>
    <row r="32" spans="1:29" x14ac:dyDescent="0.25">
      <c r="A32" s="370">
        <v>11</v>
      </c>
      <c r="B32" s="370" t="s">
        <v>1811</v>
      </c>
      <c r="C32" s="370" t="s">
        <v>1954</v>
      </c>
      <c r="D32" s="1" t="s">
        <v>1946</v>
      </c>
      <c r="E32" s="1" t="s">
        <v>1946</v>
      </c>
      <c r="F32" s="300">
        <v>0.69499999999999995</v>
      </c>
      <c r="G32" s="300">
        <v>236.92</v>
      </c>
      <c r="H32" s="394">
        <f t="shared" si="0"/>
        <v>4.82</v>
      </c>
      <c r="I32" s="394">
        <f t="shared" si="1"/>
        <v>5.39</v>
      </c>
      <c r="J32" s="394">
        <f t="shared" si="2"/>
        <v>5.69</v>
      </c>
      <c r="K32" s="394">
        <f t="shared" si="3"/>
        <v>8.31</v>
      </c>
      <c r="O32" s="370">
        <v>11</v>
      </c>
      <c r="P32" t="s">
        <v>991</v>
      </c>
      <c r="Q32" s="5">
        <v>5.4</v>
      </c>
      <c r="S32" s="1">
        <v>11</v>
      </c>
      <c r="T32" s="370" t="s">
        <v>1875</v>
      </c>
      <c r="U32" s="1" t="s">
        <v>1907</v>
      </c>
      <c r="V32" s="16" t="s">
        <v>1885</v>
      </c>
      <c r="W32" s="370" t="s">
        <v>1908</v>
      </c>
      <c r="X32" s="370" t="s">
        <v>1909</v>
      </c>
      <c r="Y32" s="370">
        <v>301.83728000000002</v>
      </c>
      <c r="Z32" s="1">
        <v>118</v>
      </c>
      <c r="AA32" s="1" t="s">
        <v>103</v>
      </c>
      <c r="AC32" s="370">
        <f t="shared" si="4"/>
        <v>0.4</v>
      </c>
    </row>
    <row r="33" spans="1:29" x14ac:dyDescent="0.25">
      <c r="A33" s="370">
        <v>12</v>
      </c>
      <c r="B33" s="370" t="s">
        <v>1811</v>
      </c>
      <c r="C33" s="370" t="s">
        <v>1927</v>
      </c>
      <c r="D33" s="1" t="s">
        <v>1849</v>
      </c>
      <c r="E33" s="1" t="s">
        <v>1849</v>
      </c>
      <c r="F33" s="300">
        <v>0.502</v>
      </c>
      <c r="G33" s="300">
        <v>249.38</v>
      </c>
      <c r="H33" s="394">
        <f t="shared" si="0"/>
        <v>3.48</v>
      </c>
      <c r="I33" s="394">
        <f t="shared" si="1"/>
        <v>3.89</v>
      </c>
      <c r="J33" s="394">
        <f t="shared" si="2"/>
        <v>4.47</v>
      </c>
      <c r="K33" s="394">
        <f t="shared" si="3"/>
        <v>7.23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1875</v>
      </c>
      <c r="U33" s="1">
        <v>3320</v>
      </c>
      <c r="V33" s="16" t="s">
        <v>1910</v>
      </c>
      <c r="W33" s="370" t="s">
        <v>1888</v>
      </c>
      <c r="X33" s="370" t="s">
        <v>1882</v>
      </c>
      <c r="Y33" s="370">
        <v>501.96852000000001</v>
      </c>
      <c r="Z33" s="1">
        <v>84.5</v>
      </c>
      <c r="AA33" s="1" t="s">
        <v>103</v>
      </c>
      <c r="AC33" s="370">
        <f t="shared" si="4"/>
        <v>0.2</v>
      </c>
    </row>
    <row r="34" spans="1:29" x14ac:dyDescent="0.25">
      <c r="A34" s="370">
        <v>13</v>
      </c>
      <c r="B34" s="370" t="s">
        <v>1811</v>
      </c>
      <c r="C34" s="370" t="s">
        <v>1955</v>
      </c>
      <c r="D34" s="1" t="s">
        <v>1946</v>
      </c>
      <c r="E34" s="1" t="s">
        <v>1946</v>
      </c>
      <c r="F34" s="300">
        <v>0.77900000000000003</v>
      </c>
      <c r="G34" s="300">
        <v>265.33</v>
      </c>
      <c r="H34" s="394">
        <f t="shared" si="0"/>
        <v>5.4</v>
      </c>
      <c r="I34" s="394">
        <f t="shared" si="1"/>
        <v>6.04</v>
      </c>
      <c r="J34" s="394">
        <f t="shared" si="2"/>
        <v>6.38</v>
      </c>
      <c r="K34" s="394">
        <f t="shared" si="3"/>
        <v>9.31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1875</v>
      </c>
      <c r="U34" s="1">
        <v>1058</v>
      </c>
      <c r="V34" s="16" t="s">
        <v>1911</v>
      </c>
      <c r="W34" s="370" t="s">
        <v>1889</v>
      </c>
      <c r="X34" s="370" t="s">
        <v>1882</v>
      </c>
      <c r="Y34" s="370">
        <v>501.96852000000001</v>
      </c>
      <c r="Z34" s="1">
        <v>100.1</v>
      </c>
      <c r="AA34" s="1" t="s">
        <v>103</v>
      </c>
      <c r="AC34" s="370">
        <f t="shared" si="4"/>
        <v>0.2</v>
      </c>
    </row>
    <row r="35" spans="1:29" x14ac:dyDescent="0.25">
      <c r="A35" s="370">
        <v>14</v>
      </c>
      <c r="B35" s="370" t="s">
        <v>1811</v>
      </c>
      <c r="C35" s="370" t="s">
        <v>1928</v>
      </c>
      <c r="D35" s="1" t="s">
        <v>1850</v>
      </c>
      <c r="E35" s="1" t="s">
        <v>1850</v>
      </c>
      <c r="F35" s="300">
        <v>0.52500000000000002</v>
      </c>
      <c r="G35" s="300">
        <v>266.07</v>
      </c>
      <c r="H35" s="394">
        <f t="shared" si="0"/>
        <v>3.64</v>
      </c>
      <c r="I35" s="394">
        <f t="shared" si="1"/>
        <v>4.07</v>
      </c>
      <c r="J35" s="394">
        <f t="shared" si="2"/>
        <v>4.7</v>
      </c>
      <c r="K35" s="394">
        <f t="shared" si="3"/>
        <v>7.65</v>
      </c>
      <c r="O35" s="370">
        <v>14</v>
      </c>
      <c r="P35" t="s">
        <v>1348</v>
      </c>
      <c r="Q35" s="5">
        <v>10</v>
      </c>
      <c r="S35" s="1">
        <v>14</v>
      </c>
      <c r="T35" s="370" t="s">
        <v>1875</v>
      </c>
      <c r="U35" s="1" t="s">
        <v>1912</v>
      </c>
      <c r="V35" s="16" t="s">
        <v>1913</v>
      </c>
      <c r="W35" s="370" t="s">
        <v>1914</v>
      </c>
      <c r="X35" s="370" t="s">
        <v>1915</v>
      </c>
      <c r="Y35" s="370">
        <v>1000.6562</v>
      </c>
      <c r="Z35" s="1">
        <v>72.599999999999994</v>
      </c>
      <c r="AA35" s="1" t="s">
        <v>103</v>
      </c>
      <c r="AC35" s="370">
        <f t="shared" si="4"/>
        <v>0.1</v>
      </c>
    </row>
    <row r="36" spans="1:29" x14ac:dyDescent="0.25">
      <c r="A36" s="370">
        <v>15</v>
      </c>
      <c r="B36" s="370" t="s">
        <v>1811</v>
      </c>
      <c r="C36" s="370" t="s">
        <v>1941</v>
      </c>
      <c r="D36" s="1" t="s">
        <v>1946</v>
      </c>
      <c r="E36" s="1" t="s">
        <v>1946</v>
      </c>
      <c r="F36" s="300">
        <v>0.874</v>
      </c>
      <c r="G36" s="300">
        <v>279.69</v>
      </c>
      <c r="H36" s="394">
        <f t="shared" si="0"/>
        <v>6.06</v>
      </c>
      <c r="I36" s="394">
        <f t="shared" si="1"/>
        <v>6.78</v>
      </c>
      <c r="J36" s="394">
        <f t="shared" si="2"/>
        <v>7.07</v>
      </c>
      <c r="K36" s="394">
        <f t="shared" si="3"/>
        <v>10.17</v>
      </c>
      <c r="O36" s="370">
        <v>15</v>
      </c>
      <c r="P36" t="s">
        <v>1349</v>
      </c>
      <c r="Q36" s="5">
        <v>12</v>
      </c>
      <c r="S36" s="1">
        <v>15</v>
      </c>
      <c r="T36" s="370" t="s">
        <v>1875</v>
      </c>
      <c r="U36" s="1" t="s">
        <v>1916</v>
      </c>
      <c r="V36" s="16" t="s">
        <v>1913</v>
      </c>
      <c r="W36" s="370" t="s">
        <v>1917</v>
      </c>
      <c r="X36" s="370" t="s">
        <v>1915</v>
      </c>
      <c r="Y36" s="370">
        <v>1000.6562</v>
      </c>
      <c r="Z36" s="1">
        <v>67</v>
      </c>
      <c r="AA36" s="1" t="s">
        <v>103</v>
      </c>
      <c r="AC36" s="370">
        <f t="shared" si="4"/>
        <v>0.1</v>
      </c>
    </row>
    <row r="37" spans="1:29" x14ac:dyDescent="0.25">
      <c r="A37" s="370">
        <v>16</v>
      </c>
      <c r="B37" s="370" t="s">
        <v>1811</v>
      </c>
      <c r="C37" s="370" t="s">
        <v>1952</v>
      </c>
      <c r="D37" s="1" t="s">
        <v>1946</v>
      </c>
      <c r="E37" s="1" t="s">
        <v>1946</v>
      </c>
      <c r="F37" s="300">
        <v>0.45400000000000001</v>
      </c>
      <c r="G37" s="300">
        <v>289.99</v>
      </c>
      <c r="H37" s="394">
        <f t="shared" si="0"/>
        <v>3.15</v>
      </c>
      <c r="I37" s="394">
        <f t="shared" si="1"/>
        <v>3.52</v>
      </c>
      <c r="J37" s="394">
        <f t="shared" si="2"/>
        <v>4.34</v>
      </c>
      <c r="K37" s="394">
        <f t="shared" si="3"/>
        <v>7.56</v>
      </c>
      <c r="O37" s="370">
        <v>16</v>
      </c>
      <c r="P37" t="s">
        <v>989</v>
      </c>
      <c r="Q37" s="5">
        <v>2.9</v>
      </c>
      <c r="S37" s="1">
        <v>16</v>
      </c>
      <c r="T37" s="370" t="s">
        <v>1875</v>
      </c>
      <c r="U37" s="1" t="s">
        <v>1918</v>
      </c>
      <c r="W37" s="370" t="s">
        <v>1919</v>
      </c>
      <c r="X37" s="370" t="s">
        <v>1882</v>
      </c>
      <c r="Y37" s="370">
        <v>501.96852000000001</v>
      </c>
      <c r="Z37" s="1">
        <v>104</v>
      </c>
      <c r="AA37" s="1" t="s">
        <v>103</v>
      </c>
      <c r="AC37" s="370">
        <f t="shared" si="4"/>
        <v>0.30000000000000004</v>
      </c>
    </row>
    <row r="38" spans="1:29" x14ac:dyDescent="0.25">
      <c r="A38" s="370">
        <v>17</v>
      </c>
      <c r="B38" s="370" t="s">
        <v>1811</v>
      </c>
      <c r="C38" s="370" t="s">
        <v>1942</v>
      </c>
      <c r="D38" s="1" t="s">
        <v>1946</v>
      </c>
      <c r="E38" s="1" t="s">
        <v>1946</v>
      </c>
      <c r="F38" s="300">
        <v>0.98</v>
      </c>
      <c r="G38" s="300">
        <v>318.08</v>
      </c>
      <c r="H38" s="394">
        <f t="shared" si="0"/>
        <v>6.8</v>
      </c>
      <c r="I38" s="394">
        <f t="shared" si="1"/>
        <v>7.6</v>
      </c>
      <c r="J38" s="394">
        <f t="shared" si="2"/>
        <v>7.95</v>
      </c>
      <c r="K38" s="394">
        <f t="shared" si="3"/>
        <v>11.47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1875</v>
      </c>
      <c r="U38" s="1" t="s">
        <v>1886</v>
      </c>
      <c r="V38" s="16" t="s">
        <v>1920</v>
      </c>
      <c r="W38" s="370" t="s">
        <v>1887</v>
      </c>
      <c r="X38" s="370" t="s">
        <v>1882</v>
      </c>
      <c r="Y38" s="370">
        <v>501.96852000000001</v>
      </c>
      <c r="Z38" s="1">
        <v>66</v>
      </c>
      <c r="AA38" s="1" t="s">
        <v>103</v>
      </c>
      <c r="AC38" s="370">
        <f t="shared" si="4"/>
        <v>0.2</v>
      </c>
    </row>
    <row r="39" spans="1:29" x14ac:dyDescent="0.25">
      <c r="A39" s="370">
        <v>18</v>
      </c>
      <c r="B39" s="370" t="s">
        <v>1811</v>
      </c>
      <c r="C39" s="370" t="s">
        <v>1949</v>
      </c>
      <c r="D39" s="1" t="s">
        <v>1946</v>
      </c>
      <c r="E39" s="1" t="s">
        <v>1946</v>
      </c>
      <c r="F39" s="300">
        <v>1.113</v>
      </c>
      <c r="G39" s="300">
        <v>330.49</v>
      </c>
      <c r="H39" s="394">
        <f t="shared" si="0"/>
        <v>7.72</v>
      </c>
      <c r="I39" s="394">
        <f t="shared" si="1"/>
        <v>8.6300000000000008</v>
      </c>
      <c r="J39" s="394">
        <f t="shared" si="2"/>
        <v>8.8800000000000008</v>
      </c>
      <c r="K39" s="394">
        <f t="shared" si="3"/>
        <v>12.54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370">
        <f t="shared" si="4"/>
        <v>1.4</v>
      </c>
    </row>
    <row r="40" spans="1:29" x14ac:dyDescent="0.25">
      <c r="A40" s="370">
        <v>19</v>
      </c>
      <c r="B40" s="370" t="s">
        <v>1811</v>
      </c>
      <c r="C40" s="370" t="s">
        <v>1956</v>
      </c>
      <c r="D40" s="1" t="s">
        <v>1946</v>
      </c>
      <c r="E40" s="1" t="s">
        <v>1946</v>
      </c>
      <c r="F40" s="300">
        <v>0.51700000000000002</v>
      </c>
      <c r="G40" s="300">
        <v>333.56</v>
      </c>
      <c r="H40" s="394">
        <f t="shared" si="0"/>
        <v>3.59</v>
      </c>
      <c r="I40" s="394">
        <f t="shared" si="1"/>
        <v>4.01</v>
      </c>
      <c r="J40" s="394">
        <f t="shared" si="2"/>
        <v>4.96</v>
      </c>
      <c r="K40" s="394">
        <f t="shared" si="3"/>
        <v>8.66</v>
      </c>
      <c r="O40" s="370">
        <v>19</v>
      </c>
      <c r="P40" t="s">
        <v>995</v>
      </c>
      <c r="Q40" s="5">
        <v>7.7</v>
      </c>
      <c r="S40" s="1">
        <v>19</v>
      </c>
      <c r="T40" s="1" t="s">
        <v>1878</v>
      </c>
      <c r="U40" s="1" t="s">
        <v>1879</v>
      </c>
      <c r="V40" s="16" t="s">
        <v>1879</v>
      </c>
      <c r="W40" s="1" t="s">
        <v>1879</v>
      </c>
      <c r="X40" s="1"/>
      <c r="Y40" s="1"/>
      <c r="Z40" s="26"/>
      <c r="AA40" s="1" t="s">
        <v>111</v>
      </c>
      <c r="AB40" s="26">
        <v>4.5</v>
      </c>
      <c r="AC40" s="370">
        <f t="shared" si="4"/>
        <v>4.5</v>
      </c>
    </row>
    <row r="41" spans="1:29" x14ac:dyDescent="0.25">
      <c r="A41" s="370">
        <v>20</v>
      </c>
      <c r="B41" s="370" t="s">
        <v>1811</v>
      </c>
      <c r="C41" s="370" t="s">
        <v>1994</v>
      </c>
      <c r="D41" s="1" t="s">
        <v>2001</v>
      </c>
      <c r="E41" s="1" t="s">
        <v>2001</v>
      </c>
      <c r="F41" s="300">
        <v>0.48199999999999998</v>
      </c>
      <c r="G41" s="300">
        <v>342</v>
      </c>
      <c r="H41" s="394">
        <f t="shared" si="0"/>
        <v>3.34</v>
      </c>
      <c r="I41" s="394">
        <f t="shared" si="1"/>
        <v>3.74</v>
      </c>
      <c r="J41" s="394">
        <f t="shared" si="2"/>
        <v>4.7699999999999996</v>
      </c>
      <c r="K41" s="394">
        <f t="shared" si="3"/>
        <v>8.56</v>
      </c>
      <c r="O41" s="370">
        <v>20</v>
      </c>
      <c r="P41" t="s">
        <v>1004</v>
      </c>
      <c r="Q41" s="5">
        <v>2.9</v>
      </c>
      <c r="S41" s="1">
        <v>20</v>
      </c>
      <c r="T41" s="1" t="s">
        <v>1878</v>
      </c>
      <c r="U41" s="1" t="s">
        <v>1880</v>
      </c>
      <c r="V41" s="16" t="s">
        <v>1880</v>
      </c>
      <c r="W41" s="1" t="s">
        <v>1881</v>
      </c>
      <c r="X41" s="1"/>
      <c r="Y41" s="1"/>
      <c r="Z41" s="26"/>
      <c r="AA41" s="1" t="s">
        <v>111</v>
      </c>
      <c r="AB41" s="26">
        <v>9.5</v>
      </c>
      <c r="AC41" s="370">
        <f t="shared" si="4"/>
        <v>9.5</v>
      </c>
    </row>
    <row r="42" spans="1:29" x14ac:dyDescent="0.25">
      <c r="A42" s="370">
        <v>21</v>
      </c>
      <c r="B42" s="370" t="s">
        <v>1811</v>
      </c>
      <c r="C42" s="370" t="s">
        <v>1943</v>
      </c>
      <c r="D42" s="1" t="s">
        <v>1946</v>
      </c>
      <c r="E42" s="1" t="s">
        <v>1946</v>
      </c>
      <c r="F42" s="300">
        <v>1.35</v>
      </c>
      <c r="G42" s="300">
        <v>343.85</v>
      </c>
      <c r="H42" s="394">
        <f t="shared" si="0"/>
        <v>9.3699999999999992</v>
      </c>
      <c r="I42" s="394">
        <f t="shared" si="1"/>
        <v>10.47</v>
      </c>
      <c r="J42" s="394">
        <f t="shared" si="2"/>
        <v>10.51</v>
      </c>
      <c r="K42" s="394">
        <f t="shared" si="3"/>
        <v>14.32</v>
      </c>
      <c r="O42" s="370">
        <v>21</v>
      </c>
      <c r="P42" t="s">
        <v>1033</v>
      </c>
      <c r="Q42" s="5">
        <v>3.7</v>
      </c>
      <c r="S42" s="1">
        <v>21</v>
      </c>
      <c r="T42" s="370" t="s">
        <v>1921</v>
      </c>
      <c r="U42" s="1" t="s">
        <v>1922</v>
      </c>
      <c r="V42" s="16" t="s">
        <v>1923</v>
      </c>
      <c r="W42" s="370" t="s">
        <v>1924</v>
      </c>
      <c r="X42" s="370" t="s">
        <v>1925</v>
      </c>
      <c r="Y42" s="370">
        <v>1312.336</v>
      </c>
      <c r="Z42" s="1">
        <v>135</v>
      </c>
      <c r="AA42" s="1" t="s">
        <v>103</v>
      </c>
      <c r="AC42" s="370">
        <f t="shared" si="4"/>
        <v>0.2</v>
      </c>
    </row>
    <row r="43" spans="1:29" x14ac:dyDescent="0.25">
      <c r="A43" s="370">
        <v>22</v>
      </c>
      <c r="B43" s="370" t="s">
        <v>1811</v>
      </c>
      <c r="C43" s="370" t="s">
        <v>1950</v>
      </c>
      <c r="D43" s="1" t="s">
        <v>1946</v>
      </c>
      <c r="E43" s="1" t="s">
        <v>1946</v>
      </c>
      <c r="F43" s="300">
        <v>1.2250000000000001</v>
      </c>
      <c r="G43" s="300">
        <v>368.88</v>
      </c>
      <c r="H43" s="394">
        <f t="shared" si="0"/>
        <v>8.5</v>
      </c>
      <c r="I43" s="394">
        <f t="shared" si="1"/>
        <v>9.5</v>
      </c>
      <c r="J43" s="394">
        <f t="shared" si="2"/>
        <v>9.8000000000000007</v>
      </c>
      <c r="K43" s="394">
        <f t="shared" si="3"/>
        <v>13.89</v>
      </c>
      <c r="O43" s="370">
        <v>22</v>
      </c>
      <c r="P43" t="s">
        <v>1021</v>
      </c>
      <c r="Q43" s="5">
        <v>9</v>
      </c>
      <c r="S43" s="1">
        <v>22</v>
      </c>
      <c r="T43" s="370" t="s">
        <v>1978</v>
      </c>
      <c r="U43" s="1" t="s">
        <v>1979</v>
      </c>
      <c r="V43" s="16" t="s">
        <v>1978</v>
      </c>
      <c r="W43" s="370" t="s">
        <v>1980</v>
      </c>
      <c r="X43" s="370" t="s">
        <v>1981</v>
      </c>
      <c r="Y43" s="370">
        <f>24*300</f>
        <v>7200</v>
      </c>
      <c r="Z43" s="1">
        <v>146.4</v>
      </c>
      <c r="AA43" s="1" t="s">
        <v>1991</v>
      </c>
      <c r="AC43" s="370">
        <f t="shared" si="4"/>
        <v>0.1</v>
      </c>
    </row>
    <row r="44" spans="1:29" x14ac:dyDescent="0.25">
      <c r="A44" s="370">
        <v>23</v>
      </c>
      <c r="B44" s="370" t="s">
        <v>1811</v>
      </c>
      <c r="C44" s="370" t="s">
        <v>1945</v>
      </c>
      <c r="D44" s="1" t="s">
        <v>1946</v>
      </c>
      <c r="E44" s="1" t="s">
        <v>1946</v>
      </c>
      <c r="F44" s="300">
        <v>1.508</v>
      </c>
      <c r="G44" s="300">
        <v>381.58</v>
      </c>
      <c r="H44" s="394">
        <f t="shared" si="0"/>
        <v>10.46</v>
      </c>
      <c r="I44" s="394">
        <f t="shared" si="1"/>
        <v>11.69</v>
      </c>
      <c r="J44" s="394">
        <f t="shared" si="2"/>
        <v>11.73</v>
      </c>
      <c r="K44" s="394">
        <f t="shared" si="3"/>
        <v>15.95</v>
      </c>
      <c r="O44" s="370">
        <v>23</v>
      </c>
      <c r="P44" t="s">
        <v>1023</v>
      </c>
      <c r="Q44" s="5">
        <v>10.6</v>
      </c>
      <c r="S44" s="1">
        <v>23</v>
      </c>
      <c r="T44" s="1" t="s">
        <v>1978</v>
      </c>
      <c r="U44" s="1" t="s">
        <v>1982</v>
      </c>
      <c r="V44" s="16" t="s">
        <v>1978</v>
      </c>
      <c r="W44" s="1" t="s">
        <v>1983</v>
      </c>
      <c r="X44" s="1" t="s">
        <v>1981</v>
      </c>
      <c r="Y44" s="1">
        <f>24*300</f>
        <v>7200</v>
      </c>
      <c r="Z44" s="26">
        <v>182.4</v>
      </c>
      <c r="AA44" s="1" t="s">
        <v>1991</v>
      </c>
      <c r="AC44" s="370">
        <f t="shared" si="4"/>
        <v>0.1</v>
      </c>
    </row>
    <row r="45" spans="1:29" x14ac:dyDescent="0.25">
      <c r="A45" s="370">
        <v>24</v>
      </c>
      <c r="B45" s="370" t="s">
        <v>1811</v>
      </c>
      <c r="C45" s="370" t="s">
        <v>1939</v>
      </c>
      <c r="D45" s="1" t="s">
        <v>1946</v>
      </c>
      <c r="E45" s="1" t="s">
        <v>1946</v>
      </c>
      <c r="F45" s="300">
        <v>0.63600000000000001</v>
      </c>
      <c r="G45" s="300">
        <v>390.57</v>
      </c>
      <c r="H45" s="394">
        <f t="shared" si="0"/>
        <v>4.41</v>
      </c>
      <c r="I45" s="394">
        <f t="shared" si="1"/>
        <v>4.93</v>
      </c>
      <c r="J45" s="394">
        <f t="shared" si="2"/>
        <v>6.01</v>
      </c>
      <c r="K45" s="394">
        <f t="shared" si="3"/>
        <v>10.34</v>
      </c>
      <c r="O45" s="370">
        <v>24</v>
      </c>
      <c r="P45" t="s">
        <v>1335</v>
      </c>
      <c r="Q45" s="5">
        <v>4.75</v>
      </c>
      <c r="S45" s="1">
        <v>24</v>
      </c>
      <c r="T45" s="1" t="s">
        <v>1978</v>
      </c>
      <c r="U45" s="1" t="s">
        <v>1984</v>
      </c>
      <c r="V45" s="16" t="s">
        <v>1978</v>
      </c>
      <c r="W45" s="1" t="s">
        <v>1985</v>
      </c>
      <c r="X45" s="1" t="s">
        <v>1981</v>
      </c>
      <c r="Y45" s="1">
        <f>24*300</f>
        <v>7200</v>
      </c>
      <c r="Z45" s="26">
        <v>177.6</v>
      </c>
      <c r="AA45" s="1" t="s">
        <v>1991</v>
      </c>
      <c r="AB45" s="26"/>
      <c r="AC45" s="370">
        <f t="shared" si="4"/>
        <v>0.1</v>
      </c>
    </row>
    <row r="46" spans="1:29" x14ac:dyDescent="0.25">
      <c r="A46" s="370">
        <v>25</v>
      </c>
      <c r="B46" s="370" t="s">
        <v>1811</v>
      </c>
      <c r="C46" s="370" t="s">
        <v>1944</v>
      </c>
      <c r="D46" s="1" t="s">
        <v>1946</v>
      </c>
      <c r="E46" s="1" t="s">
        <v>1946</v>
      </c>
      <c r="F46" s="300">
        <v>0.71399999999999997</v>
      </c>
      <c r="G46" s="300">
        <v>439.29</v>
      </c>
      <c r="H46" s="394">
        <f t="shared" si="0"/>
        <v>4.95</v>
      </c>
      <c r="I46" s="394">
        <f t="shared" si="1"/>
        <v>5.54</v>
      </c>
      <c r="J46" s="394">
        <f t="shared" si="2"/>
        <v>6.75</v>
      </c>
      <c r="K46" s="394">
        <f t="shared" si="3"/>
        <v>11.62</v>
      </c>
      <c r="O46" s="370">
        <v>25</v>
      </c>
      <c r="P46" t="s">
        <v>1007</v>
      </c>
      <c r="Q46" s="5">
        <v>8</v>
      </c>
      <c r="S46" s="1">
        <v>25</v>
      </c>
      <c r="T46" s="1" t="s">
        <v>1978</v>
      </c>
      <c r="U46" s="1" t="s">
        <v>1986</v>
      </c>
      <c r="V46" s="16" t="s">
        <v>1978</v>
      </c>
      <c r="W46" s="1" t="s">
        <v>1987</v>
      </c>
      <c r="X46" s="1" t="s">
        <v>1981</v>
      </c>
      <c r="Y46" s="1">
        <f>24*300</f>
        <v>7200</v>
      </c>
      <c r="Z46" s="26">
        <v>103.2</v>
      </c>
      <c r="AA46" s="1" t="s">
        <v>1991</v>
      </c>
      <c r="AB46" s="26"/>
      <c r="AC46" s="370">
        <f t="shared" si="4"/>
        <v>0.1</v>
      </c>
    </row>
    <row r="47" spans="1:29" x14ac:dyDescent="0.25">
      <c r="A47" s="370">
        <v>26</v>
      </c>
      <c r="B47" s="370" t="s">
        <v>1811</v>
      </c>
      <c r="C47" s="370" t="s">
        <v>1947</v>
      </c>
      <c r="D47" s="1" t="s">
        <v>1946</v>
      </c>
      <c r="E47" s="1" t="s">
        <v>1946</v>
      </c>
      <c r="F47" s="300">
        <v>0.81</v>
      </c>
      <c r="G47" s="300">
        <v>463.91</v>
      </c>
      <c r="H47" s="394">
        <f t="shared" si="0"/>
        <v>5.62</v>
      </c>
      <c r="I47" s="394">
        <f t="shared" si="1"/>
        <v>6.28</v>
      </c>
      <c r="J47" s="394">
        <f t="shared" si="2"/>
        <v>7.5</v>
      </c>
      <c r="K47" s="394">
        <f t="shared" si="3"/>
        <v>12.64</v>
      </c>
      <c r="O47" s="370">
        <v>26</v>
      </c>
      <c r="P47" t="s">
        <v>1009</v>
      </c>
      <c r="Q47" s="5">
        <v>8</v>
      </c>
      <c r="S47" s="1">
        <v>26</v>
      </c>
      <c r="T47" s="370" t="s">
        <v>1978</v>
      </c>
      <c r="U47" s="1" t="s">
        <v>1988</v>
      </c>
      <c r="V47" s="16" t="s">
        <v>1978</v>
      </c>
      <c r="W47" s="370" t="s">
        <v>1989</v>
      </c>
      <c r="X47" s="370" t="s">
        <v>1981</v>
      </c>
      <c r="Y47" s="370">
        <f>24*300</f>
        <v>7200</v>
      </c>
      <c r="Z47" s="1">
        <v>88.8</v>
      </c>
      <c r="AA47" s="1" t="s">
        <v>1991</v>
      </c>
      <c r="AB47" s="26"/>
      <c r="AC47" s="370">
        <f t="shared" si="4"/>
        <v>0.1</v>
      </c>
    </row>
    <row r="48" spans="1:29" x14ac:dyDescent="0.25">
      <c r="A48" s="370">
        <v>27</v>
      </c>
      <c r="B48" s="370" t="s">
        <v>1811</v>
      </c>
      <c r="C48" s="370" t="s">
        <v>1951</v>
      </c>
      <c r="D48" s="1" t="s">
        <v>1946</v>
      </c>
      <c r="E48" s="1" t="s">
        <v>1946</v>
      </c>
      <c r="F48" s="300">
        <v>0.89300000000000002</v>
      </c>
      <c r="G48" s="300">
        <v>512.72</v>
      </c>
      <c r="H48" s="394">
        <f t="shared" si="0"/>
        <v>6.2</v>
      </c>
      <c r="I48" s="394">
        <f t="shared" si="1"/>
        <v>6.92</v>
      </c>
      <c r="J48" s="394">
        <f t="shared" si="2"/>
        <v>8.2799999999999994</v>
      </c>
      <c r="K48" s="394">
        <f t="shared" si="3"/>
        <v>13.95</v>
      </c>
      <c r="O48" s="370">
        <v>27</v>
      </c>
      <c r="P48" t="s">
        <v>1028</v>
      </c>
      <c r="Q48" s="5">
        <v>8</v>
      </c>
      <c r="S48" s="1" t="str">
        <v/>
      </c>
      <c r="AC48" s="370" t="str">
        <f t="shared" si="4"/>
        <v/>
      </c>
    </row>
    <row r="49" spans="1:19" x14ac:dyDescent="0.25">
      <c r="A49" s="370">
        <v>28</v>
      </c>
      <c r="B49" s="370" t="s">
        <v>1811</v>
      </c>
      <c r="C49" s="16" t="s">
        <v>1974</v>
      </c>
      <c r="D49" s="1" t="s">
        <v>1812</v>
      </c>
      <c r="E49" s="1" t="s">
        <v>1812</v>
      </c>
      <c r="F49" s="300">
        <v>2.6779999999999999</v>
      </c>
      <c r="G49" s="300">
        <v>538.36500000000001</v>
      </c>
      <c r="H49" s="394">
        <f t="shared" si="0"/>
        <v>18.579999999999998</v>
      </c>
      <c r="I49" s="394">
        <f t="shared" si="1"/>
        <v>20.77</v>
      </c>
      <c r="J49" s="394">
        <f t="shared" si="2"/>
        <v>20.18</v>
      </c>
      <c r="K49" s="394">
        <f t="shared" si="3"/>
        <v>26.14</v>
      </c>
      <c r="O49" s="370">
        <v>28</v>
      </c>
      <c r="P49" t="s">
        <v>987</v>
      </c>
      <c r="Q49" s="5">
        <v>4.75</v>
      </c>
      <c r="S49" s="1" t="str">
        <v/>
      </c>
    </row>
    <row r="50" spans="1:19" x14ac:dyDescent="0.25">
      <c r="A50" s="370">
        <v>29</v>
      </c>
      <c r="B50" s="370" t="s">
        <v>1811</v>
      </c>
      <c r="C50" s="370" t="s">
        <v>1996</v>
      </c>
      <c r="D50" s="1" t="s">
        <v>1997</v>
      </c>
      <c r="E50" s="1" t="s">
        <v>1997</v>
      </c>
      <c r="F50" s="300">
        <v>0.15</v>
      </c>
      <c r="G50" s="300">
        <v>122.3</v>
      </c>
      <c r="H50" s="394">
        <f t="shared" si="0"/>
        <v>1.04</v>
      </c>
      <c r="I50" s="394">
        <f t="shared" si="1"/>
        <v>1.1599999999999999</v>
      </c>
      <c r="J50" s="394">
        <f t="shared" si="2"/>
        <v>1.56</v>
      </c>
      <c r="K50" s="394">
        <f t="shared" si="3"/>
        <v>2.91</v>
      </c>
      <c r="O50" s="370">
        <v>29</v>
      </c>
      <c r="P50" t="s">
        <v>1031</v>
      </c>
      <c r="Q50" s="5">
        <v>3</v>
      </c>
      <c r="S50" s="1" t="str">
        <v/>
      </c>
    </row>
    <row r="51" spans="1:19" x14ac:dyDescent="0.25">
      <c r="A51" s="370">
        <v>30</v>
      </c>
      <c r="B51" s="370" t="s">
        <v>1811</v>
      </c>
      <c r="C51" s="370" t="s">
        <v>1999</v>
      </c>
      <c r="D51" s="1" t="s">
        <v>1998</v>
      </c>
      <c r="E51" s="1" t="s">
        <v>1998</v>
      </c>
      <c r="F51" s="300">
        <v>0.35299999999999998</v>
      </c>
      <c r="G51" s="300">
        <v>249.9</v>
      </c>
      <c r="H51" s="394">
        <f t="shared" si="0"/>
        <v>2.4500000000000002</v>
      </c>
      <c r="I51" s="394">
        <f t="shared" si="1"/>
        <v>2.74</v>
      </c>
      <c r="J51" s="394">
        <f t="shared" si="2"/>
        <v>3.49</v>
      </c>
      <c r="K51" s="394">
        <f t="shared" si="3"/>
        <v>6.26</v>
      </c>
      <c r="O51" s="370">
        <v>30</v>
      </c>
      <c r="P51" t="s">
        <v>1016</v>
      </c>
      <c r="Q51" s="5">
        <v>6.5</v>
      </c>
      <c r="S51" s="1" t="str">
        <v/>
      </c>
    </row>
    <row r="52" spans="1:19" x14ac:dyDescent="0.25">
      <c r="A52" s="370" t="str">
        <v/>
      </c>
      <c r="H52" s="394" t="str">
        <f t="shared" ref="H52:H86" si="5">IF($C52="","",ROUND((($B$2*$F52*($B$5/1000))/$B$6)*(1+IF($B$18="",0,$B$18)),2))</f>
        <v/>
      </c>
      <c r="I52" s="394" t="str">
        <f t="shared" ref="I52:I86" si="6">IF($C52="","",ROUND((($B$3*$F52*($B$5/1000))/$B$6)*(1+IF($B$18="",0,$B$18)),2))</f>
        <v/>
      </c>
      <c r="J52" s="394" t="str">
        <f t="shared" ref="J52:J86" si="7">IF(OR($C52="",$B$9="",$B$15=""),"",ROUND((((((IF($B$15="N/A",$B$2,$B$4))*$F52*($B$5/1000))+((($G52/1000)*($B$5/1000)*10.7639104)*(IF($B$9="Smooth",$B$10,IF($B$9="Sand",$B$11,0)))))*(1+$B$17))/$B$8)*(1+IF($B$18="",0,$B$18)),2))</f>
        <v/>
      </c>
      <c r="K52" s="394" t="str">
        <f t="shared" ref="K52:K86" si="8">IF(OR($C52="",$B$12="",$B$15=""),"",ROUND((((((IF($B$15="N/A",$B$2,$B$4))*$F52*($B$5/1000))+((($G52/1000)*($B$5/1000)*10.7639104)*(IF($B$12="Indoor",$B$13,IF($B$12="Outdoor",$B$14,0)))))*(1+$B$17))/$B$8)*(1+IF($B$18="",0,$B$18)),2))</f>
        <v/>
      </c>
      <c r="O52" s="370">
        <v>31</v>
      </c>
      <c r="P52" t="s">
        <v>1014</v>
      </c>
      <c r="Q52" s="5">
        <v>6.5</v>
      </c>
      <c r="S52" s="1" t="str">
        <v/>
      </c>
    </row>
    <row r="53" spans="1:19" x14ac:dyDescent="0.25">
      <c r="A53" s="370" t="str">
        <v/>
      </c>
      <c r="H53" s="394" t="str">
        <f t="shared" si="5"/>
        <v/>
      </c>
      <c r="I53" s="394" t="str">
        <f t="shared" si="6"/>
        <v/>
      </c>
      <c r="J53" s="394" t="str">
        <f t="shared" si="7"/>
        <v/>
      </c>
      <c r="K53" s="394" t="str">
        <f t="shared" si="8"/>
        <v/>
      </c>
      <c r="O53" s="370">
        <v>32</v>
      </c>
      <c r="P53" t="s">
        <v>1002</v>
      </c>
      <c r="Q53" s="5">
        <v>8.1999999999999993</v>
      </c>
      <c r="S53" s="1" t="str">
        <v/>
      </c>
    </row>
    <row r="54" spans="1:19" x14ac:dyDescent="0.25">
      <c r="A54" s="370" t="str">
        <v/>
      </c>
      <c r="H54" s="394" t="str">
        <f t="shared" si="5"/>
        <v/>
      </c>
      <c r="I54" s="394" t="str">
        <f t="shared" si="6"/>
        <v/>
      </c>
      <c r="J54" s="394" t="str">
        <f t="shared" si="7"/>
        <v/>
      </c>
      <c r="K54" s="394" t="str">
        <f t="shared" si="8"/>
        <v/>
      </c>
      <c r="O54" s="370">
        <v>33</v>
      </c>
      <c r="P54" t="s">
        <v>992</v>
      </c>
      <c r="Q54" s="5">
        <v>5.9</v>
      </c>
      <c r="S54" s="1" t="str">
        <v/>
      </c>
    </row>
    <row r="55" spans="1:19" x14ac:dyDescent="0.25">
      <c r="A55" s="370" t="str">
        <v/>
      </c>
      <c r="H55" s="394" t="str">
        <f t="shared" si="5"/>
        <v/>
      </c>
      <c r="I55" s="394" t="str">
        <f t="shared" si="6"/>
        <v/>
      </c>
      <c r="J55" s="394" t="str">
        <f t="shared" si="7"/>
        <v/>
      </c>
      <c r="K55" s="394" t="str">
        <f t="shared" si="8"/>
        <v/>
      </c>
      <c r="O55" s="370">
        <v>34</v>
      </c>
      <c r="P55" t="s">
        <v>1019</v>
      </c>
      <c r="Q55" s="5">
        <v>5.3</v>
      </c>
      <c r="S55" s="1" t="str">
        <v/>
      </c>
    </row>
    <row r="56" spans="1:19" x14ac:dyDescent="0.25">
      <c r="A56" s="370" t="str">
        <v/>
      </c>
      <c r="H56" s="394" t="str">
        <f t="shared" si="5"/>
        <v/>
      </c>
      <c r="I56" s="394" t="str">
        <f t="shared" si="6"/>
        <v/>
      </c>
      <c r="J56" s="394" t="str">
        <f t="shared" si="7"/>
        <v/>
      </c>
      <c r="K56" s="394" t="str">
        <f t="shared" si="8"/>
        <v/>
      </c>
      <c r="O56" s="370">
        <v>35</v>
      </c>
      <c r="P56" t="s">
        <v>982</v>
      </c>
      <c r="Q56" s="5">
        <v>2.5</v>
      </c>
      <c r="S56" s="1" t="str">
        <v/>
      </c>
    </row>
    <row r="57" spans="1:19" x14ac:dyDescent="0.25">
      <c r="A57" s="370" t="str">
        <v/>
      </c>
      <c r="H57" s="394" t="str">
        <f t="shared" si="5"/>
        <v/>
      </c>
      <c r="I57" s="394" t="str">
        <f t="shared" si="6"/>
        <v/>
      </c>
      <c r="J57" s="394" t="str">
        <f t="shared" si="7"/>
        <v/>
      </c>
      <c r="K57" s="394" t="str">
        <f t="shared" si="8"/>
        <v/>
      </c>
      <c r="O57" s="370">
        <v>36</v>
      </c>
      <c r="P57" t="s">
        <v>990</v>
      </c>
      <c r="Q57" s="5">
        <v>5.0999999999999996</v>
      </c>
      <c r="S57" s="1" t="str">
        <v/>
      </c>
    </row>
    <row r="58" spans="1:19" x14ac:dyDescent="0.25">
      <c r="A58" s="370" t="str">
        <v/>
      </c>
      <c r="H58" s="394" t="str">
        <f t="shared" si="5"/>
        <v/>
      </c>
      <c r="I58" s="394" t="str">
        <f t="shared" si="6"/>
        <v/>
      </c>
      <c r="J58" s="394" t="str">
        <f t="shared" si="7"/>
        <v/>
      </c>
      <c r="K58" s="394" t="str">
        <f t="shared" si="8"/>
        <v/>
      </c>
      <c r="O58" s="370">
        <v>37</v>
      </c>
      <c r="P58" t="s">
        <v>1026</v>
      </c>
      <c r="Q58" s="5">
        <v>5.5</v>
      </c>
      <c r="S58" s="1" t="str">
        <v/>
      </c>
    </row>
    <row r="59" spans="1:19" x14ac:dyDescent="0.25">
      <c r="A59" s="370" t="str">
        <v/>
      </c>
      <c r="H59" s="394" t="str">
        <f t="shared" si="5"/>
        <v/>
      </c>
      <c r="I59" s="394" t="str">
        <f t="shared" si="6"/>
        <v/>
      </c>
      <c r="J59" s="394" t="str">
        <f t="shared" si="7"/>
        <v/>
      </c>
      <c r="K59" s="394" t="str">
        <f t="shared" si="8"/>
        <v/>
      </c>
      <c r="O59" s="370">
        <v>38</v>
      </c>
      <c r="P59" t="s">
        <v>1013</v>
      </c>
      <c r="Q59" s="5">
        <v>4.9000000000000004</v>
      </c>
      <c r="S59" s="1" t="str">
        <v/>
      </c>
    </row>
    <row r="60" spans="1:19" x14ac:dyDescent="0.25">
      <c r="A60" s="370" t="str">
        <v/>
      </c>
      <c r="H60" s="394" t="str">
        <f t="shared" si="5"/>
        <v/>
      </c>
      <c r="I60" s="394" t="str">
        <f t="shared" si="6"/>
        <v/>
      </c>
      <c r="J60" s="394" t="str">
        <f t="shared" si="7"/>
        <v/>
      </c>
      <c r="K60" s="394" t="str">
        <f t="shared" si="8"/>
        <v/>
      </c>
      <c r="O60" s="370">
        <v>39</v>
      </c>
      <c r="P60" t="s">
        <v>996</v>
      </c>
      <c r="Q60" s="5">
        <v>8.6999999999999993</v>
      </c>
      <c r="S60" s="1" t="str">
        <v/>
      </c>
    </row>
    <row r="61" spans="1:19" x14ac:dyDescent="0.25">
      <c r="A61" s="370" t="str">
        <v/>
      </c>
      <c r="H61" s="394" t="str">
        <f t="shared" si="5"/>
        <v/>
      </c>
      <c r="I61" s="394" t="str">
        <f t="shared" si="6"/>
        <v/>
      </c>
      <c r="J61" s="394" t="str">
        <f t="shared" si="7"/>
        <v/>
      </c>
      <c r="K61" s="394" t="str">
        <f t="shared" si="8"/>
        <v/>
      </c>
      <c r="O61" s="370">
        <v>40</v>
      </c>
      <c r="P61" t="s">
        <v>1005</v>
      </c>
      <c r="Q61" s="5">
        <v>3.5</v>
      </c>
      <c r="S61" s="1" t="str">
        <v/>
      </c>
    </row>
    <row r="62" spans="1:19" x14ac:dyDescent="0.25">
      <c r="A62" s="370" t="str">
        <v/>
      </c>
      <c r="H62" s="394" t="str">
        <f t="shared" si="5"/>
        <v/>
      </c>
      <c r="I62" s="394" t="str">
        <f t="shared" si="6"/>
        <v/>
      </c>
      <c r="J62" s="394" t="str">
        <f t="shared" si="7"/>
        <v/>
      </c>
      <c r="K62" s="394" t="str">
        <f t="shared" si="8"/>
        <v/>
      </c>
      <c r="O62" s="370">
        <v>41</v>
      </c>
      <c r="P62" t="s">
        <v>1022</v>
      </c>
      <c r="Q62" s="5">
        <v>10</v>
      </c>
      <c r="S62" s="1" t="str">
        <v/>
      </c>
    </row>
    <row r="63" spans="1:19" x14ac:dyDescent="0.25">
      <c r="A63" s="370" t="str">
        <v/>
      </c>
      <c r="H63" s="394" t="str">
        <f t="shared" si="5"/>
        <v/>
      </c>
      <c r="I63" s="394" t="str">
        <f t="shared" si="6"/>
        <v/>
      </c>
      <c r="J63" s="394" t="str">
        <f t="shared" si="7"/>
        <v/>
      </c>
      <c r="K63" s="394" t="str">
        <f t="shared" si="8"/>
        <v/>
      </c>
      <c r="O63" s="370">
        <v>42</v>
      </c>
      <c r="P63" t="s">
        <v>1024</v>
      </c>
      <c r="Q63" s="5">
        <v>11</v>
      </c>
      <c r="S63" s="1" t="str">
        <v/>
      </c>
    </row>
    <row r="64" spans="1:19" x14ac:dyDescent="0.25">
      <c r="A64" s="370" t="str">
        <v/>
      </c>
      <c r="H64" s="394" t="str">
        <f t="shared" si="5"/>
        <v/>
      </c>
      <c r="I64" s="394" t="str">
        <f t="shared" si="6"/>
        <v/>
      </c>
      <c r="J64" s="394" t="str">
        <f t="shared" si="7"/>
        <v/>
      </c>
      <c r="K64" s="394" t="str">
        <f t="shared" si="8"/>
        <v/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 t="str">
        <v/>
      </c>
      <c r="H65" s="394" t="str">
        <f t="shared" si="5"/>
        <v/>
      </c>
      <c r="I65" s="394" t="str">
        <f t="shared" si="6"/>
        <v/>
      </c>
      <c r="J65" s="394" t="str">
        <f t="shared" si="7"/>
        <v/>
      </c>
      <c r="K65" s="394" t="str">
        <f t="shared" si="8"/>
        <v/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 t="str">
        <v/>
      </c>
      <c r="H66" s="394" t="str">
        <f t="shared" si="5"/>
        <v/>
      </c>
      <c r="I66" s="394" t="str">
        <f t="shared" si="6"/>
        <v/>
      </c>
      <c r="J66" s="394" t="str">
        <f t="shared" si="7"/>
        <v/>
      </c>
      <c r="K66" s="394" t="str">
        <f t="shared" si="8"/>
        <v/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 t="str">
        <v/>
      </c>
      <c r="H67" s="394" t="str">
        <f t="shared" si="5"/>
        <v/>
      </c>
      <c r="I67" s="394" t="str">
        <f t="shared" si="6"/>
        <v/>
      </c>
      <c r="J67" s="394" t="str">
        <f t="shared" si="7"/>
        <v/>
      </c>
      <c r="K67" s="394" t="str">
        <f t="shared" si="8"/>
        <v/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 t="str">
        <v/>
      </c>
      <c r="H68" s="394" t="str">
        <f t="shared" si="5"/>
        <v/>
      </c>
      <c r="I68" s="394" t="str">
        <f t="shared" si="6"/>
        <v/>
      </c>
      <c r="J68" s="394" t="str">
        <f t="shared" si="7"/>
        <v/>
      </c>
      <c r="K68" s="394" t="str">
        <f t="shared" si="8"/>
        <v/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 t="str">
        <v/>
      </c>
      <c r="H69" s="394" t="str">
        <f t="shared" si="5"/>
        <v/>
      </c>
      <c r="I69" s="394" t="str">
        <f t="shared" si="6"/>
        <v/>
      </c>
      <c r="J69" s="394" t="str">
        <f t="shared" si="7"/>
        <v/>
      </c>
      <c r="K69" s="394" t="str">
        <f t="shared" si="8"/>
        <v/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 t="str">
        <v/>
      </c>
      <c r="H70" s="394" t="str">
        <f t="shared" si="5"/>
        <v/>
      </c>
      <c r="I70" s="394" t="str">
        <f t="shared" si="6"/>
        <v/>
      </c>
      <c r="J70" s="394" t="str">
        <f t="shared" si="7"/>
        <v/>
      </c>
      <c r="K70" s="394" t="str">
        <f t="shared" si="8"/>
        <v/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 t="str">
        <v/>
      </c>
      <c r="H71" s="394" t="str">
        <f t="shared" si="5"/>
        <v/>
      </c>
      <c r="I71" s="394" t="str">
        <f t="shared" si="6"/>
        <v/>
      </c>
      <c r="J71" s="394" t="str">
        <f t="shared" si="7"/>
        <v/>
      </c>
      <c r="K71" s="394" t="str">
        <f t="shared" si="8"/>
        <v/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 t="str">
        <v/>
      </c>
      <c r="H72" s="394" t="str">
        <f t="shared" si="5"/>
        <v/>
      </c>
      <c r="I72" s="394" t="str">
        <f t="shared" si="6"/>
        <v/>
      </c>
      <c r="J72" s="394" t="str">
        <f t="shared" si="7"/>
        <v/>
      </c>
      <c r="K72" s="394" t="str">
        <f t="shared" si="8"/>
        <v/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 t="str">
        <v/>
      </c>
      <c r="H73" s="394" t="str">
        <f t="shared" si="5"/>
        <v/>
      </c>
      <c r="I73" s="394" t="str">
        <f t="shared" si="6"/>
        <v/>
      </c>
      <c r="J73" s="394" t="str">
        <f t="shared" si="7"/>
        <v/>
      </c>
      <c r="K73" s="394" t="str">
        <f t="shared" si="8"/>
        <v/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 t="str">
        <v/>
      </c>
      <c r="H74" s="394" t="str">
        <f t="shared" si="5"/>
        <v/>
      </c>
      <c r="I74" s="394" t="str">
        <f t="shared" si="6"/>
        <v/>
      </c>
      <c r="J74" s="394" t="str">
        <f t="shared" si="7"/>
        <v/>
      </c>
      <c r="K74" s="394" t="str">
        <f t="shared" si="8"/>
        <v/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 t="str">
        <v/>
      </c>
      <c r="H75" s="394" t="str">
        <f t="shared" si="5"/>
        <v/>
      </c>
      <c r="I75" s="394" t="str">
        <f t="shared" si="6"/>
        <v/>
      </c>
      <c r="J75" s="394" t="str">
        <f t="shared" si="7"/>
        <v/>
      </c>
      <c r="K75" s="394" t="str">
        <f t="shared" si="8"/>
        <v/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 t="str">
        <v/>
      </c>
      <c r="H76" s="394" t="str">
        <f t="shared" si="5"/>
        <v/>
      </c>
      <c r="I76" s="394" t="str">
        <f t="shared" si="6"/>
        <v/>
      </c>
      <c r="J76" s="394" t="str">
        <f t="shared" si="7"/>
        <v/>
      </c>
      <c r="K76" s="394" t="str">
        <f t="shared" si="8"/>
        <v/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 t="str">
        <v/>
      </c>
      <c r="H77" s="394" t="str">
        <f t="shared" si="5"/>
        <v/>
      </c>
      <c r="I77" s="394" t="str">
        <f t="shared" si="6"/>
        <v/>
      </c>
      <c r="J77" s="394" t="str">
        <f t="shared" si="7"/>
        <v/>
      </c>
      <c r="K77" s="394" t="str">
        <f t="shared" si="8"/>
        <v/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 t="str">
        <v/>
      </c>
      <c r="H78" s="394" t="str">
        <f t="shared" si="5"/>
        <v/>
      </c>
      <c r="I78" s="394" t="str">
        <f t="shared" si="6"/>
        <v/>
      </c>
      <c r="J78" s="394" t="str">
        <f t="shared" si="7"/>
        <v/>
      </c>
      <c r="K78" s="394" t="str">
        <f t="shared" si="8"/>
        <v/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 t="str">
        <v/>
      </c>
      <c r="H79" s="394" t="str">
        <f t="shared" si="5"/>
        <v/>
      </c>
      <c r="I79" s="394" t="str">
        <f t="shared" si="6"/>
        <v/>
      </c>
      <c r="J79" s="394" t="str">
        <f t="shared" si="7"/>
        <v/>
      </c>
      <c r="K79" s="394" t="str">
        <f t="shared" si="8"/>
        <v/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 t="str">
        <v/>
      </c>
      <c r="H80" s="394" t="str">
        <f t="shared" si="5"/>
        <v/>
      </c>
      <c r="I80" s="394" t="str">
        <f t="shared" si="6"/>
        <v/>
      </c>
      <c r="J80" s="394" t="str">
        <f t="shared" si="7"/>
        <v/>
      </c>
      <c r="K80" s="394" t="str">
        <f t="shared" si="8"/>
        <v/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 t="str">
        <v/>
      </c>
      <c r="H81" s="394" t="str">
        <f t="shared" si="5"/>
        <v/>
      </c>
      <c r="I81" s="394" t="str">
        <f t="shared" si="6"/>
        <v/>
      </c>
      <c r="J81" s="394" t="str">
        <f t="shared" si="7"/>
        <v/>
      </c>
      <c r="K81" s="394" t="str">
        <f t="shared" si="8"/>
        <v/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 t="str">
        <v/>
      </c>
      <c r="H82" s="394" t="str">
        <f t="shared" si="5"/>
        <v/>
      </c>
      <c r="I82" s="394" t="str">
        <f t="shared" si="6"/>
        <v/>
      </c>
      <c r="J82" s="394" t="str">
        <f t="shared" si="7"/>
        <v/>
      </c>
      <c r="K82" s="394" t="str">
        <f t="shared" si="8"/>
        <v/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 t="str">
        <v/>
      </c>
      <c r="H83" s="394" t="str">
        <f t="shared" si="5"/>
        <v/>
      </c>
      <c r="I83" s="394" t="str">
        <f t="shared" si="6"/>
        <v/>
      </c>
      <c r="J83" s="394" t="str">
        <f t="shared" si="7"/>
        <v/>
      </c>
      <c r="K83" s="394" t="str">
        <f t="shared" si="8"/>
        <v/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 t="str">
        <v/>
      </c>
      <c r="H84" s="394" t="str">
        <f t="shared" si="5"/>
        <v/>
      </c>
      <c r="I84" s="394" t="str">
        <f t="shared" si="6"/>
        <v/>
      </c>
      <c r="J84" s="394" t="str">
        <f t="shared" si="7"/>
        <v/>
      </c>
      <c r="K84" s="394" t="str">
        <f t="shared" si="8"/>
        <v/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 t="str">
        <v/>
      </c>
      <c r="H85" s="394" t="str">
        <f t="shared" si="5"/>
        <v/>
      </c>
      <c r="I85" s="394" t="str">
        <f t="shared" si="6"/>
        <v/>
      </c>
      <c r="J85" s="394" t="str">
        <f t="shared" si="7"/>
        <v/>
      </c>
      <c r="K85" s="394" t="str">
        <f t="shared" si="8"/>
        <v/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 t="str">
        <v/>
      </c>
      <c r="H86" s="394" t="str">
        <f t="shared" si="5"/>
        <v/>
      </c>
      <c r="I86" s="394" t="str">
        <f t="shared" si="6"/>
        <v/>
      </c>
      <c r="J86" s="394" t="str">
        <f t="shared" si="7"/>
        <v/>
      </c>
      <c r="K86" s="394" t="str">
        <f t="shared" si="8"/>
        <v/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 t="str">
        <v/>
      </c>
      <c r="H87" s="394" t="str">
        <f t="shared" ref="H87:H150" si="9">IF($C87="","",ROUND((($B$2*$F87*($B$5/1000))/$B$6)*(1+IF($B$18="",0,$B$18)),2))</f>
        <v/>
      </c>
      <c r="I87" s="394" t="str">
        <f t="shared" ref="I87:I150" si="10">IF($C87="","",ROUND((($B$3*$F87*($B$5/1000))/$B$6)*(1+IF($B$18="",0,$B$18)),2))</f>
        <v/>
      </c>
      <c r="J87" s="394" t="str">
        <f t="shared" ref="J87:J150" si="11">IF(OR($C87="",$B$9="",$B$15=""),"",ROUND((((((IF($B$15="N/A",$B$2,$B$4))*$F87*($B$5/1000))+((($G87/1000)*($B$5/1000)*10.7639104)*(IF($B$9="Smooth",$B$10,IF($B$9="Sand",$B$11,0)))))*(1+$B$17))/$B$8)*(1+IF($B$18="",0,$B$18)),2))</f>
        <v/>
      </c>
      <c r="K87" s="394" t="str">
        <f t="shared" ref="K87:K150" si="12">IF(OR($C87="",$B$12="",$B$15=""),"",ROUND((((((IF($B$15="N/A",$B$2,$B$4))*$F87*($B$5/1000))+((($G87/1000)*($B$5/1000)*10.7639104)*(IF($B$12="Indoor",$B$13,IF($B$12="Outdoor",$B$14,0)))))*(1+$B$17))/$B$8)*(1+IF($B$18="",0,$B$18)),2))</f>
        <v/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 t="str">
        <v/>
      </c>
      <c r="H88" s="394" t="str">
        <f t="shared" si="9"/>
        <v/>
      </c>
      <c r="I88" s="394" t="str">
        <f t="shared" si="10"/>
        <v/>
      </c>
      <c r="J88" s="394" t="str">
        <f t="shared" si="11"/>
        <v/>
      </c>
      <c r="K88" s="394" t="str">
        <f t="shared" si="12"/>
        <v/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 t="str">
        <v/>
      </c>
      <c r="H89" s="394" t="str">
        <f t="shared" si="9"/>
        <v/>
      </c>
      <c r="I89" s="394" t="str">
        <f t="shared" si="10"/>
        <v/>
      </c>
      <c r="J89" s="394" t="str">
        <f t="shared" si="11"/>
        <v/>
      </c>
      <c r="K89" s="394" t="str">
        <f t="shared" si="12"/>
        <v/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 t="str">
        <v/>
      </c>
      <c r="H90" s="394" t="str">
        <f t="shared" si="9"/>
        <v/>
      </c>
      <c r="I90" s="394" t="str">
        <f t="shared" si="10"/>
        <v/>
      </c>
      <c r="J90" s="394" t="str">
        <f t="shared" si="11"/>
        <v/>
      </c>
      <c r="K90" s="394" t="str">
        <f t="shared" si="12"/>
        <v/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 t="str">
        <v/>
      </c>
      <c r="H91" s="394" t="str">
        <f t="shared" si="9"/>
        <v/>
      </c>
      <c r="I91" s="394" t="str">
        <f t="shared" si="10"/>
        <v/>
      </c>
      <c r="J91" s="394" t="str">
        <f t="shared" si="11"/>
        <v/>
      </c>
      <c r="K91" s="394" t="str">
        <f t="shared" si="12"/>
        <v/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 t="str">
        <v/>
      </c>
      <c r="H92" s="394" t="str">
        <f t="shared" si="9"/>
        <v/>
      </c>
      <c r="I92" s="394" t="str">
        <f t="shared" si="10"/>
        <v/>
      </c>
      <c r="J92" s="394" t="str">
        <f t="shared" si="11"/>
        <v/>
      </c>
      <c r="K92" s="394" t="str">
        <f t="shared" si="12"/>
        <v/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 t="str">
        <v/>
      </c>
      <c r="H93" s="394" t="str">
        <f t="shared" si="9"/>
        <v/>
      </c>
      <c r="I93" s="394" t="str">
        <f t="shared" si="10"/>
        <v/>
      </c>
      <c r="J93" s="394" t="str">
        <f t="shared" si="11"/>
        <v/>
      </c>
      <c r="K93" s="394" t="str">
        <f t="shared" si="12"/>
        <v/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 t="str">
        <v/>
      </c>
      <c r="H94" s="394" t="str">
        <f t="shared" si="9"/>
        <v/>
      </c>
      <c r="I94" s="394" t="str">
        <f t="shared" si="10"/>
        <v/>
      </c>
      <c r="J94" s="394" t="str">
        <f t="shared" si="11"/>
        <v/>
      </c>
      <c r="K94" s="394" t="str">
        <f t="shared" si="12"/>
        <v/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 t="str">
        <v/>
      </c>
      <c r="H95" s="394" t="str">
        <f t="shared" si="9"/>
        <v/>
      </c>
      <c r="I95" s="394" t="str">
        <f t="shared" si="10"/>
        <v/>
      </c>
      <c r="J95" s="394" t="str">
        <f t="shared" si="11"/>
        <v/>
      </c>
      <c r="K95" s="394" t="str">
        <f t="shared" si="12"/>
        <v/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 t="str">
        <v/>
      </c>
      <c r="H96" s="394" t="str">
        <f t="shared" si="9"/>
        <v/>
      </c>
      <c r="I96" s="394" t="str">
        <f t="shared" si="10"/>
        <v/>
      </c>
      <c r="J96" s="394" t="str">
        <f t="shared" si="11"/>
        <v/>
      </c>
      <c r="K96" s="394" t="str">
        <f t="shared" si="12"/>
        <v/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 t="str">
        <v/>
      </c>
      <c r="H97" s="394" t="str">
        <f t="shared" si="9"/>
        <v/>
      </c>
      <c r="I97" s="394" t="str">
        <f t="shared" si="10"/>
        <v/>
      </c>
      <c r="J97" s="394" t="str">
        <f t="shared" si="11"/>
        <v/>
      </c>
      <c r="K97" s="394" t="str">
        <f t="shared" si="12"/>
        <v/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 t="str">
        <v/>
      </c>
      <c r="H98" s="394" t="str">
        <f t="shared" si="9"/>
        <v/>
      </c>
      <c r="I98" s="394" t="str">
        <f t="shared" si="10"/>
        <v/>
      </c>
      <c r="J98" s="394" t="str">
        <f t="shared" si="11"/>
        <v/>
      </c>
      <c r="K98" s="394" t="str">
        <f t="shared" si="12"/>
        <v/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 t="str">
        <v/>
      </c>
      <c r="H99" s="394" t="str">
        <f t="shared" si="9"/>
        <v/>
      </c>
      <c r="I99" s="394" t="str">
        <f t="shared" si="10"/>
        <v/>
      </c>
      <c r="J99" s="394" t="str">
        <f t="shared" si="11"/>
        <v/>
      </c>
      <c r="K99" s="394" t="str">
        <f t="shared" si="12"/>
        <v/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 t="str">
        <v/>
      </c>
      <c r="H100" s="394" t="str">
        <f t="shared" si="9"/>
        <v/>
      </c>
      <c r="I100" s="394" t="str">
        <f t="shared" si="10"/>
        <v/>
      </c>
      <c r="J100" s="394" t="str">
        <f t="shared" si="11"/>
        <v/>
      </c>
      <c r="K100" s="394" t="str">
        <f t="shared" si="12"/>
        <v/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 t="str">
        <v/>
      </c>
      <c r="H101" s="394" t="str">
        <f t="shared" si="9"/>
        <v/>
      </c>
      <c r="I101" s="394" t="str">
        <f t="shared" si="10"/>
        <v/>
      </c>
      <c r="J101" s="394" t="str">
        <f t="shared" si="11"/>
        <v/>
      </c>
      <c r="K101" s="394" t="str">
        <f t="shared" si="12"/>
        <v/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 t="str">
        <v/>
      </c>
      <c r="H102" s="394" t="str">
        <f t="shared" si="9"/>
        <v/>
      </c>
      <c r="I102" s="394" t="str">
        <f t="shared" si="10"/>
        <v/>
      </c>
      <c r="J102" s="394" t="str">
        <f t="shared" si="11"/>
        <v/>
      </c>
      <c r="K102" s="394" t="str">
        <f t="shared" si="12"/>
        <v/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 t="str">
        <v/>
      </c>
      <c r="H103" s="394" t="str">
        <f t="shared" si="9"/>
        <v/>
      </c>
      <c r="I103" s="394" t="str">
        <f t="shared" si="10"/>
        <v/>
      </c>
      <c r="J103" s="394" t="str">
        <f t="shared" si="11"/>
        <v/>
      </c>
      <c r="K103" s="394" t="str">
        <f t="shared" si="12"/>
        <v/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 t="str">
        <v/>
      </c>
      <c r="H104" s="394" t="str">
        <f t="shared" si="9"/>
        <v/>
      </c>
      <c r="I104" s="394" t="str">
        <f t="shared" si="10"/>
        <v/>
      </c>
      <c r="J104" s="394" t="str">
        <f t="shared" si="11"/>
        <v/>
      </c>
      <c r="K104" s="394" t="str">
        <f t="shared" si="12"/>
        <v/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 t="str">
        <v/>
      </c>
      <c r="H105" s="394" t="str">
        <f t="shared" si="9"/>
        <v/>
      </c>
      <c r="I105" s="394" t="str">
        <f t="shared" si="10"/>
        <v/>
      </c>
      <c r="J105" s="394" t="str">
        <f t="shared" si="11"/>
        <v/>
      </c>
      <c r="K105" s="394" t="str">
        <f t="shared" si="12"/>
        <v/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 t="str">
        <v/>
      </c>
      <c r="H106" s="394" t="str">
        <f t="shared" si="9"/>
        <v/>
      </c>
      <c r="I106" s="394" t="str">
        <f t="shared" si="10"/>
        <v/>
      </c>
      <c r="J106" s="394" t="str">
        <f t="shared" si="11"/>
        <v/>
      </c>
      <c r="K106" s="394" t="str">
        <f t="shared" si="12"/>
        <v/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 t="str">
        <v/>
      </c>
      <c r="H107" s="394" t="str">
        <f t="shared" si="9"/>
        <v/>
      </c>
      <c r="I107" s="394" t="str">
        <f t="shared" si="10"/>
        <v/>
      </c>
      <c r="J107" s="394" t="str">
        <f t="shared" si="11"/>
        <v/>
      </c>
      <c r="K107" s="394" t="str">
        <f t="shared" si="12"/>
        <v/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 t="str">
        <v/>
      </c>
      <c r="H108" s="394" t="str">
        <f t="shared" si="9"/>
        <v/>
      </c>
      <c r="I108" s="394" t="str">
        <f t="shared" si="10"/>
        <v/>
      </c>
      <c r="J108" s="394" t="str">
        <f t="shared" si="11"/>
        <v/>
      </c>
      <c r="K108" s="394" t="str">
        <f t="shared" si="12"/>
        <v/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9"/>
        <v/>
      </c>
      <c r="I109" s="394" t="str">
        <f t="shared" si="10"/>
        <v/>
      </c>
      <c r="J109" s="394" t="str">
        <f t="shared" si="11"/>
        <v/>
      </c>
      <c r="K109" s="394" t="str">
        <f t="shared" si="12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9"/>
        <v/>
      </c>
      <c r="I110" s="394" t="str">
        <f t="shared" si="10"/>
        <v/>
      </c>
      <c r="J110" s="394" t="str">
        <f t="shared" si="11"/>
        <v/>
      </c>
      <c r="K110" s="394" t="str">
        <f t="shared" si="12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9"/>
        <v/>
      </c>
      <c r="I111" s="394" t="str">
        <f t="shared" si="10"/>
        <v/>
      </c>
      <c r="J111" s="394" t="str">
        <f t="shared" si="11"/>
        <v/>
      </c>
      <c r="K111" s="394" t="str">
        <f t="shared" si="12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9"/>
        <v/>
      </c>
      <c r="I112" s="394" t="str">
        <f t="shared" si="10"/>
        <v/>
      </c>
      <c r="J112" s="394" t="str">
        <f t="shared" si="11"/>
        <v/>
      </c>
      <c r="K112" s="394" t="str">
        <f t="shared" si="12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9"/>
        <v/>
      </c>
      <c r="I113" s="394" t="str">
        <f t="shared" si="10"/>
        <v/>
      </c>
      <c r="J113" s="394" t="str">
        <f t="shared" si="11"/>
        <v/>
      </c>
      <c r="K113" s="394" t="str">
        <f t="shared" si="12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9"/>
        <v/>
      </c>
      <c r="I114" s="394" t="str">
        <f t="shared" si="10"/>
        <v/>
      </c>
      <c r="J114" s="394" t="str">
        <f t="shared" si="11"/>
        <v/>
      </c>
      <c r="K114" s="394" t="str">
        <f t="shared" si="12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9"/>
        <v/>
      </c>
      <c r="I115" s="394" t="str">
        <f t="shared" si="10"/>
        <v/>
      </c>
      <c r="J115" s="394" t="str">
        <f t="shared" si="11"/>
        <v/>
      </c>
      <c r="K115" s="394" t="str">
        <f t="shared" si="12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9"/>
        <v/>
      </c>
      <c r="I116" s="394" t="str">
        <f t="shared" si="10"/>
        <v/>
      </c>
      <c r="J116" s="394" t="str">
        <f t="shared" si="11"/>
        <v/>
      </c>
      <c r="K116" s="394" t="str">
        <f t="shared" si="12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9"/>
        <v/>
      </c>
      <c r="I117" s="394" t="str">
        <f t="shared" si="10"/>
        <v/>
      </c>
      <c r="J117" s="394" t="str">
        <f t="shared" si="11"/>
        <v/>
      </c>
      <c r="K117" s="394" t="str">
        <f t="shared" si="12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9"/>
        <v/>
      </c>
      <c r="I118" s="394" t="str">
        <f t="shared" si="10"/>
        <v/>
      </c>
      <c r="J118" s="394" t="str">
        <f t="shared" si="11"/>
        <v/>
      </c>
      <c r="K118" s="394" t="str">
        <f t="shared" si="12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9"/>
        <v/>
      </c>
      <c r="I119" s="394" t="str">
        <f t="shared" si="10"/>
        <v/>
      </c>
      <c r="J119" s="394" t="str">
        <f t="shared" si="11"/>
        <v/>
      </c>
      <c r="K119" s="394" t="str">
        <f t="shared" si="12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9"/>
        <v/>
      </c>
      <c r="I120" s="394" t="str">
        <f t="shared" si="10"/>
        <v/>
      </c>
      <c r="J120" s="394" t="str">
        <f t="shared" si="11"/>
        <v/>
      </c>
      <c r="K120" s="394" t="str">
        <f t="shared" si="12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9"/>
        <v/>
      </c>
      <c r="I121" s="394" t="str">
        <f t="shared" si="10"/>
        <v/>
      </c>
      <c r="J121" s="394" t="str">
        <f t="shared" si="11"/>
        <v/>
      </c>
      <c r="K121" s="394" t="str">
        <f t="shared" si="12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9"/>
        <v/>
      </c>
      <c r="I122" s="394" t="str">
        <f t="shared" si="10"/>
        <v/>
      </c>
      <c r="J122" s="394" t="str">
        <f t="shared" si="11"/>
        <v/>
      </c>
      <c r="K122" s="394" t="str">
        <f t="shared" si="12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9"/>
        <v/>
      </c>
      <c r="I123" s="394" t="str">
        <f t="shared" si="10"/>
        <v/>
      </c>
      <c r="J123" s="394" t="str">
        <f t="shared" si="11"/>
        <v/>
      </c>
      <c r="K123" s="394" t="str">
        <f t="shared" si="12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9"/>
        <v/>
      </c>
      <c r="I124" s="394" t="str">
        <f t="shared" si="10"/>
        <v/>
      </c>
      <c r="J124" s="394" t="str">
        <f t="shared" si="11"/>
        <v/>
      </c>
      <c r="K124" s="394" t="str">
        <f t="shared" si="12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9"/>
        <v/>
      </c>
      <c r="I125" s="394" t="str">
        <f t="shared" si="10"/>
        <v/>
      </c>
      <c r="J125" s="394" t="str">
        <f t="shared" si="11"/>
        <v/>
      </c>
      <c r="K125" s="394" t="str">
        <f t="shared" si="12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9"/>
        <v/>
      </c>
      <c r="I126" s="394" t="str">
        <f t="shared" si="10"/>
        <v/>
      </c>
      <c r="J126" s="394" t="str">
        <f t="shared" si="11"/>
        <v/>
      </c>
      <c r="K126" s="394" t="str">
        <f t="shared" si="12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9"/>
        <v/>
      </c>
      <c r="I127" s="394" t="str">
        <f t="shared" si="10"/>
        <v/>
      </c>
      <c r="J127" s="394" t="str">
        <f t="shared" si="11"/>
        <v/>
      </c>
      <c r="K127" s="394" t="str">
        <f t="shared" si="12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9"/>
        <v/>
      </c>
      <c r="I128" s="394" t="str">
        <f t="shared" si="10"/>
        <v/>
      </c>
      <c r="J128" s="394" t="str">
        <f t="shared" si="11"/>
        <v/>
      </c>
      <c r="K128" s="394" t="str">
        <f t="shared" si="12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9"/>
        <v/>
      </c>
      <c r="I129" s="394" t="str">
        <f t="shared" si="10"/>
        <v/>
      </c>
      <c r="J129" s="394" t="str">
        <f t="shared" si="11"/>
        <v/>
      </c>
      <c r="K129" s="394" t="str">
        <f t="shared" si="12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9"/>
        <v/>
      </c>
      <c r="I130" s="394" t="str">
        <f t="shared" si="10"/>
        <v/>
      </c>
      <c r="J130" s="394" t="str">
        <f t="shared" si="11"/>
        <v/>
      </c>
      <c r="K130" s="394" t="str">
        <f t="shared" si="12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9"/>
        <v/>
      </c>
      <c r="I131" s="394" t="str">
        <f t="shared" si="10"/>
        <v/>
      </c>
      <c r="J131" s="394" t="str">
        <f t="shared" si="11"/>
        <v/>
      </c>
      <c r="K131" s="394" t="str">
        <f t="shared" si="12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9"/>
        <v/>
      </c>
      <c r="I132" s="394" t="str">
        <f t="shared" si="10"/>
        <v/>
      </c>
      <c r="J132" s="394" t="str">
        <f t="shared" si="11"/>
        <v/>
      </c>
      <c r="K132" s="394" t="str">
        <f t="shared" si="12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9"/>
        <v/>
      </c>
      <c r="I133" s="394" t="str">
        <f t="shared" si="10"/>
        <v/>
      </c>
      <c r="J133" s="394" t="str">
        <f t="shared" si="11"/>
        <v/>
      </c>
      <c r="K133" s="394" t="str">
        <f t="shared" si="12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9"/>
        <v/>
      </c>
      <c r="I134" s="394" t="str">
        <f t="shared" si="10"/>
        <v/>
      </c>
      <c r="J134" s="394" t="str">
        <f t="shared" si="11"/>
        <v/>
      </c>
      <c r="K134" s="394" t="str">
        <f t="shared" si="12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9"/>
        <v/>
      </c>
      <c r="I135" s="394" t="str">
        <f t="shared" si="10"/>
        <v/>
      </c>
      <c r="J135" s="394" t="str">
        <f t="shared" si="11"/>
        <v/>
      </c>
      <c r="K135" s="394" t="str">
        <f t="shared" si="12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9"/>
        <v/>
      </c>
      <c r="I136" s="394" t="str">
        <f t="shared" si="10"/>
        <v/>
      </c>
      <c r="J136" s="394" t="str">
        <f t="shared" si="11"/>
        <v/>
      </c>
      <c r="K136" s="394" t="str">
        <f t="shared" si="12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9"/>
        <v/>
      </c>
      <c r="I137" s="394" t="str">
        <f t="shared" si="10"/>
        <v/>
      </c>
      <c r="J137" s="394" t="str">
        <f t="shared" si="11"/>
        <v/>
      </c>
      <c r="K137" s="394" t="str">
        <f t="shared" si="12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9"/>
        <v/>
      </c>
      <c r="I138" s="394" t="str">
        <f t="shared" si="10"/>
        <v/>
      </c>
      <c r="J138" s="394" t="str">
        <f t="shared" si="11"/>
        <v/>
      </c>
      <c r="K138" s="394" t="str">
        <f t="shared" si="12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9"/>
        <v/>
      </c>
      <c r="I139" s="394" t="str">
        <f t="shared" si="10"/>
        <v/>
      </c>
      <c r="J139" s="394" t="str">
        <f t="shared" si="11"/>
        <v/>
      </c>
      <c r="K139" s="394" t="str">
        <f t="shared" si="12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9"/>
        <v/>
      </c>
      <c r="I140" s="394" t="str">
        <f t="shared" si="10"/>
        <v/>
      </c>
      <c r="J140" s="394" t="str">
        <f t="shared" si="11"/>
        <v/>
      </c>
      <c r="K140" s="394" t="str">
        <f t="shared" si="12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9"/>
        <v/>
      </c>
      <c r="I141" s="394" t="str">
        <f t="shared" si="10"/>
        <v/>
      </c>
      <c r="J141" s="394" t="str">
        <f t="shared" si="11"/>
        <v/>
      </c>
      <c r="K141" s="394" t="str">
        <f t="shared" si="12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9"/>
        <v/>
      </c>
      <c r="I142" s="394" t="str">
        <f t="shared" si="10"/>
        <v/>
      </c>
      <c r="J142" s="394" t="str">
        <f t="shared" si="11"/>
        <v/>
      </c>
      <c r="K142" s="394" t="str">
        <f t="shared" si="12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9"/>
        <v/>
      </c>
      <c r="I143" s="394" t="str">
        <f t="shared" si="10"/>
        <v/>
      </c>
      <c r="J143" s="394" t="str">
        <f t="shared" si="11"/>
        <v/>
      </c>
      <c r="K143" s="394" t="str">
        <f t="shared" si="12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9"/>
        <v/>
      </c>
      <c r="I144" s="394" t="str">
        <f t="shared" si="10"/>
        <v/>
      </c>
      <c r="J144" s="394" t="str">
        <f t="shared" si="11"/>
        <v/>
      </c>
      <c r="K144" s="394" t="str">
        <f t="shared" si="12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9"/>
        <v/>
      </c>
      <c r="I145" s="394" t="str">
        <f t="shared" si="10"/>
        <v/>
      </c>
      <c r="J145" s="394" t="str">
        <f t="shared" si="11"/>
        <v/>
      </c>
      <c r="K145" s="394" t="str">
        <f t="shared" si="12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9"/>
        <v/>
      </c>
      <c r="I146" s="394" t="str">
        <f t="shared" si="10"/>
        <v/>
      </c>
      <c r="J146" s="394" t="str">
        <f t="shared" si="11"/>
        <v/>
      </c>
      <c r="K146" s="394" t="str">
        <f t="shared" si="12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9"/>
        <v/>
      </c>
      <c r="I147" s="394" t="str">
        <f t="shared" si="10"/>
        <v/>
      </c>
      <c r="J147" s="394" t="str">
        <f t="shared" si="11"/>
        <v/>
      </c>
      <c r="K147" s="394" t="str">
        <f t="shared" si="12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9"/>
        <v/>
      </c>
      <c r="I148" s="394" t="str">
        <f t="shared" si="10"/>
        <v/>
      </c>
      <c r="J148" s="394" t="str">
        <f t="shared" si="11"/>
        <v/>
      </c>
      <c r="K148" s="394" t="str">
        <f t="shared" si="12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9"/>
        <v/>
      </c>
      <c r="I149" s="394" t="str">
        <f t="shared" si="10"/>
        <v/>
      </c>
      <c r="J149" s="394" t="str">
        <f t="shared" si="11"/>
        <v/>
      </c>
      <c r="K149" s="394" t="str">
        <f t="shared" si="12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9"/>
        <v/>
      </c>
      <c r="I150" s="394" t="str">
        <f t="shared" si="10"/>
        <v/>
      </c>
      <c r="J150" s="394" t="str">
        <f t="shared" si="11"/>
        <v/>
      </c>
      <c r="K150" s="394" t="str">
        <f t="shared" si="12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3">IF($C151="","",ROUND((($B$2*$F151*($B$5/1000))/$B$6)*(1+IF($B$18="",0,$B$18)),2))</f>
        <v/>
      </c>
      <c r="I151" s="394" t="str">
        <f t="shared" ref="I151:I214" si="14">IF($C151="","",ROUND((($B$3*$F151*($B$5/1000))/$B$6)*(1+IF($B$18="",0,$B$18)),2))</f>
        <v/>
      </c>
      <c r="J151" s="394" t="str">
        <f t="shared" ref="J151:J214" si="15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6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3"/>
        <v/>
      </c>
      <c r="I152" s="394" t="str">
        <f t="shared" si="14"/>
        <v/>
      </c>
      <c r="J152" s="394" t="str">
        <f t="shared" si="15"/>
        <v/>
      </c>
      <c r="K152" s="394" t="str">
        <f t="shared" si="16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3"/>
        <v/>
      </c>
      <c r="I153" s="394" t="str">
        <f t="shared" si="14"/>
        <v/>
      </c>
      <c r="J153" s="394" t="str">
        <f t="shared" si="15"/>
        <v/>
      </c>
      <c r="K153" s="394" t="str">
        <f t="shared" si="16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3"/>
        <v/>
      </c>
      <c r="I154" s="394" t="str">
        <f t="shared" si="14"/>
        <v/>
      </c>
      <c r="J154" s="394" t="str">
        <f t="shared" si="15"/>
        <v/>
      </c>
      <c r="K154" s="394" t="str">
        <f t="shared" si="16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3"/>
        <v/>
      </c>
      <c r="I155" s="394" t="str">
        <f t="shared" si="14"/>
        <v/>
      </c>
      <c r="J155" s="394" t="str">
        <f t="shared" si="15"/>
        <v/>
      </c>
      <c r="K155" s="394" t="str">
        <f t="shared" si="16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3"/>
        <v/>
      </c>
      <c r="I156" s="394" t="str">
        <f t="shared" si="14"/>
        <v/>
      </c>
      <c r="J156" s="394" t="str">
        <f t="shared" si="15"/>
        <v/>
      </c>
      <c r="K156" s="394" t="str">
        <f t="shared" si="16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3"/>
        <v/>
      </c>
      <c r="I157" s="394" t="str">
        <f t="shared" si="14"/>
        <v/>
      </c>
      <c r="J157" s="394" t="str">
        <f t="shared" si="15"/>
        <v/>
      </c>
      <c r="K157" s="394" t="str">
        <f t="shared" si="16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3"/>
        <v/>
      </c>
      <c r="I158" s="394" t="str">
        <f t="shared" si="14"/>
        <v/>
      </c>
      <c r="J158" s="394" t="str">
        <f t="shared" si="15"/>
        <v/>
      </c>
      <c r="K158" s="394" t="str">
        <f t="shared" si="16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3"/>
        <v/>
      </c>
      <c r="I159" s="394" t="str">
        <f t="shared" si="14"/>
        <v/>
      </c>
      <c r="J159" s="394" t="str">
        <f t="shared" si="15"/>
        <v/>
      </c>
      <c r="K159" s="394" t="str">
        <f t="shared" si="16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3"/>
        <v/>
      </c>
      <c r="I160" s="394" t="str">
        <f t="shared" si="14"/>
        <v/>
      </c>
      <c r="J160" s="394" t="str">
        <f t="shared" si="15"/>
        <v/>
      </c>
      <c r="K160" s="394" t="str">
        <f t="shared" si="16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3"/>
        <v/>
      </c>
      <c r="I161" s="394" t="str">
        <f t="shared" si="14"/>
        <v/>
      </c>
      <c r="J161" s="394" t="str">
        <f t="shared" si="15"/>
        <v/>
      </c>
      <c r="K161" s="394" t="str">
        <f t="shared" si="16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3"/>
        <v/>
      </c>
      <c r="I162" s="394" t="str">
        <f t="shared" si="14"/>
        <v/>
      </c>
      <c r="J162" s="394" t="str">
        <f t="shared" si="15"/>
        <v/>
      </c>
      <c r="K162" s="394" t="str">
        <f t="shared" si="16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3"/>
        <v/>
      </c>
      <c r="I163" s="394" t="str">
        <f t="shared" si="14"/>
        <v/>
      </c>
      <c r="J163" s="394" t="str">
        <f t="shared" si="15"/>
        <v/>
      </c>
      <c r="K163" s="394" t="str">
        <f t="shared" si="16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3"/>
        <v/>
      </c>
      <c r="I164" s="394" t="str">
        <f t="shared" si="14"/>
        <v/>
      </c>
      <c r="J164" s="394" t="str">
        <f t="shared" si="15"/>
        <v/>
      </c>
      <c r="K164" s="394" t="str">
        <f t="shared" si="16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3"/>
        <v/>
      </c>
      <c r="I165" s="394" t="str">
        <f t="shared" si="14"/>
        <v/>
      </c>
      <c r="J165" s="394" t="str">
        <f t="shared" si="15"/>
        <v/>
      </c>
      <c r="K165" s="394" t="str">
        <f t="shared" si="16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3"/>
        <v/>
      </c>
      <c r="I166" s="394" t="str">
        <f t="shared" si="14"/>
        <v/>
      </c>
      <c r="J166" s="394" t="str">
        <f t="shared" si="15"/>
        <v/>
      </c>
      <c r="K166" s="394" t="str">
        <f t="shared" si="16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3"/>
        <v/>
      </c>
      <c r="I167" s="394" t="str">
        <f t="shared" si="14"/>
        <v/>
      </c>
      <c r="J167" s="394" t="str">
        <f t="shared" si="15"/>
        <v/>
      </c>
      <c r="K167" s="394" t="str">
        <f t="shared" si="16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3"/>
        <v/>
      </c>
      <c r="I168" s="394" t="str">
        <f t="shared" si="14"/>
        <v/>
      </c>
      <c r="J168" s="394" t="str">
        <f t="shared" si="15"/>
        <v/>
      </c>
      <c r="K168" s="394" t="str">
        <f t="shared" si="16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3"/>
        <v/>
      </c>
      <c r="I169" s="394" t="str">
        <f t="shared" si="14"/>
        <v/>
      </c>
      <c r="J169" s="394" t="str">
        <f t="shared" si="15"/>
        <v/>
      </c>
      <c r="K169" s="394" t="str">
        <f t="shared" si="16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3"/>
        <v/>
      </c>
      <c r="I170" s="394" t="str">
        <f t="shared" si="14"/>
        <v/>
      </c>
      <c r="J170" s="394" t="str">
        <f t="shared" si="15"/>
        <v/>
      </c>
      <c r="K170" s="394" t="str">
        <f t="shared" si="16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3"/>
        <v/>
      </c>
      <c r="I171" s="394" t="str">
        <f t="shared" si="14"/>
        <v/>
      </c>
      <c r="J171" s="394" t="str">
        <f t="shared" si="15"/>
        <v/>
      </c>
      <c r="K171" s="394" t="str">
        <f t="shared" si="16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3"/>
        <v/>
      </c>
      <c r="I172" s="394" t="str">
        <f t="shared" si="14"/>
        <v/>
      </c>
      <c r="J172" s="394" t="str">
        <f t="shared" si="15"/>
        <v/>
      </c>
      <c r="K172" s="394" t="str">
        <f t="shared" si="16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3"/>
        <v/>
      </c>
      <c r="I173" s="394" t="str">
        <f t="shared" si="14"/>
        <v/>
      </c>
      <c r="J173" s="394" t="str">
        <f t="shared" si="15"/>
        <v/>
      </c>
      <c r="K173" s="394" t="str">
        <f t="shared" si="16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3"/>
        <v/>
      </c>
      <c r="I174" s="394" t="str">
        <f t="shared" si="14"/>
        <v/>
      </c>
      <c r="J174" s="394" t="str">
        <f t="shared" si="15"/>
        <v/>
      </c>
      <c r="K174" s="394" t="str">
        <f t="shared" si="16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3"/>
        <v/>
      </c>
      <c r="I175" s="394" t="str">
        <f t="shared" si="14"/>
        <v/>
      </c>
      <c r="J175" s="394" t="str">
        <f t="shared" si="15"/>
        <v/>
      </c>
      <c r="K175" s="394" t="str">
        <f t="shared" si="16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3"/>
        <v/>
      </c>
      <c r="I176" s="394" t="str">
        <f t="shared" si="14"/>
        <v/>
      </c>
      <c r="J176" s="394" t="str">
        <f t="shared" si="15"/>
        <v/>
      </c>
      <c r="K176" s="394" t="str">
        <f t="shared" si="16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3"/>
        <v/>
      </c>
      <c r="I177" s="394" t="str">
        <f t="shared" si="14"/>
        <v/>
      </c>
      <c r="J177" s="394" t="str">
        <f t="shared" si="15"/>
        <v/>
      </c>
      <c r="K177" s="394" t="str">
        <f t="shared" si="16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3"/>
        <v/>
      </c>
      <c r="I178" s="394" t="str">
        <f t="shared" si="14"/>
        <v/>
      </c>
      <c r="J178" s="394" t="str">
        <f t="shared" si="15"/>
        <v/>
      </c>
      <c r="K178" s="394" t="str">
        <f t="shared" si="16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3"/>
        <v/>
      </c>
      <c r="I179" s="394" t="str">
        <f t="shared" si="14"/>
        <v/>
      </c>
      <c r="J179" s="394" t="str">
        <f t="shared" si="15"/>
        <v/>
      </c>
      <c r="K179" s="394" t="str">
        <f t="shared" si="16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3"/>
        <v/>
      </c>
      <c r="I180" s="394" t="str">
        <f t="shared" si="14"/>
        <v/>
      </c>
      <c r="J180" s="394" t="str">
        <f t="shared" si="15"/>
        <v/>
      </c>
      <c r="K180" s="394" t="str">
        <f t="shared" si="16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3"/>
        <v/>
      </c>
      <c r="I181" s="394" t="str">
        <f t="shared" si="14"/>
        <v/>
      </c>
      <c r="J181" s="394" t="str">
        <f t="shared" si="15"/>
        <v/>
      </c>
      <c r="K181" s="394" t="str">
        <f t="shared" si="16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3"/>
        <v/>
      </c>
      <c r="I182" s="394" t="str">
        <f t="shared" si="14"/>
        <v/>
      </c>
      <c r="J182" s="394" t="str">
        <f t="shared" si="15"/>
        <v/>
      </c>
      <c r="K182" s="394" t="str">
        <f t="shared" si="16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3"/>
        <v/>
      </c>
      <c r="I183" s="394" t="str">
        <f t="shared" si="14"/>
        <v/>
      </c>
      <c r="J183" s="394" t="str">
        <f t="shared" si="15"/>
        <v/>
      </c>
      <c r="K183" s="394" t="str">
        <f t="shared" si="16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3"/>
        <v/>
      </c>
      <c r="I184" s="394" t="str">
        <f t="shared" si="14"/>
        <v/>
      </c>
      <c r="J184" s="394" t="str">
        <f t="shared" si="15"/>
        <v/>
      </c>
      <c r="K184" s="394" t="str">
        <f t="shared" si="16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3"/>
        <v/>
      </c>
      <c r="I185" s="394" t="str">
        <f t="shared" si="14"/>
        <v/>
      </c>
      <c r="J185" s="394" t="str">
        <f t="shared" si="15"/>
        <v/>
      </c>
      <c r="K185" s="394" t="str">
        <f t="shared" si="16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3"/>
        <v/>
      </c>
      <c r="I186" s="394" t="str">
        <f t="shared" si="14"/>
        <v/>
      </c>
      <c r="J186" s="394" t="str">
        <f t="shared" si="15"/>
        <v/>
      </c>
      <c r="K186" s="394" t="str">
        <f t="shared" si="16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3"/>
        <v/>
      </c>
      <c r="I187" s="394" t="str">
        <f t="shared" si="14"/>
        <v/>
      </c>
      <c r="J187" s="394" t="str">
        <f t="shared" si="15"/>
        <v/>
      </c>
      <c r="K187" s="394" t="str">
        <f t="shared" si="16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3"/>
        <v/>
      </c>
      <c r="I188" s="394" t="str">
        <f t="shared" si="14"/>
        <v/>
      </c>
      <c r="J188" s="394" t="str">
        <f t="shared" si="15"/>
        <v/>
      </c>
      <c r="K188" s="394" t="str">
        <f t="shared" si="16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3"/>
        <v/>
      </c>
      <c r="I189" s="394" t="str">
        <f t="shared" si="14"/>
        <v/>
      </c>
      <c r="J189" s="394" t="str">
        <f t="shared" si="15"/>
        <v/>
      </c>
      <c r="K189" s="394" t="str">
        <f t="shared" si="16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3"/>
        <v/>
      </c>
      <c r="I190" s="394" t="str">
        <f t="shared" si="14"/>
        <v/>
      </c>
      <c r="J190" s="394" t="str">
        <f t="shared" si="15"/>
        <v/>
      </c>
      <c r="K190" s="394" t="str">
        <f t="shared" si="16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3"/>
        <v/>
      </c>
      <c r="I191" s="394" t="str">
        <f t="shared" si="14"/>
        <v/>
      </c>
      <c r="J191" s="394" t="str">
        <f t="shared" si="15"/>
        <v/>
      </c>
      <c r="K191" s="394" t="str">
        <f t="shared" si="16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3"/>
        <v/>
      </c>
      <c r="I192" s="394" t="str">
        <f t="shared" si="14"/>
        <v/>
      </c>
      <c r="J192" s="394" t="str">
        <f t="shared" si="15"/>
        <v/>
      </c>
      <c r="K192" s="394" t="str">
        <f t="shared" si="16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3"/>
        <v/>
      </c>
      <c r="I193" s="394" t="str">
        <f t="shared" si="14"/>
        <v/>
      </c>
      <c r="J193" s="394" t="str">
        <f t="shared" si="15"/>
        <v/>
      </c>
      <c r="K193" s="394" t="str">
        <f t="shared" si="16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3"/>
        <v/>
      </c>
      <c r="I194" s="394" t="str">
        <f t="shared" si="14"/>
        <v/>
      </c>
      <c r="J194" s="394" t="str">
        <f t="shared" si="15"/>
        <v/>
      </c>
      <c r="K194" s="394" t="str">
        <f t="shared" si="16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3"/>
        <v/>
      </c>
      <c r="I195" s="394" t="str">
        <f t="shared" si="14"/>
        <v/>
      </c>
      <c r="J195" s="394" t="str">
        <f t="shared" si="15"/>
        <v/>
      </c>
      <c r="K195" s="394" t="str">
        <f t="shared" si="16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3"/>
        <v/>
      </c>
      <c r="I196" s="394" t="str">
        <f t="shared" si="14"/>
        <v/>
      </c>
      <c r="J196" s="394" t="str">
        <f t="shared" si="15"/>
        <v/>
      </c>
      <c r="K196" s="394" t="str">
        <f t="shared" si="16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3"/>
        <v/>
      </c>
      <c r="I197" s="394" t="str">
        <f t="shared" si="14"/>
        <v/>
      </c>
      <c r="J197" s="394" t="str">
        <f t="shared" si="15"/>
        <v/>
      </c>
      <c r="K197" s="394" t="str">
        <f t="shared" si="16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3"/>
        <v/>
      </c>
      <c r="I198" s="394" t="str">
        <f t="shared" si="14"/>
        <v/>
      </c>
      <c r="J198" s="394" t="str">
        <f t="shared" si="15"/>
        <v/>
      </c>
      <c r="K198" s="394" t="str">
        <f t="shared" si="16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3"/>
        <v/>
      </c>
      <c r="I199" s="394" t="str">
        <f t="shared" si="14"/>
        <v/>
      </c>
      <c r="J199" s="394" t="str">
        <f t="shared" si="15"/>
        <v/>
      </c>
      <c r="K199" s="394" t="str">
        <f t="shared" si="16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3"/>
        <v/>
      </c>
      <c r="I200" s="394" t="str">
        <f t="shared" si="14"/>
        <v/>
      </c>
      <c r="J200" s="394" t="str">
        <f t="shared" si="15"/>
        <v/>
      </c>
      <c r="K200" s="394" t="str">
        <f t="shared" si="16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3"/>
        <v/>
      </c>
      <c r="I201" s="394" t="str">
        <f t="shared" si="14"/>
        <v/>
      </c>
      <c r="J201" s="394" t="str">
        <f t="shared" si="15"/>
        <v/>
      </c>
      <c r="K201" s="394" t="str">
        <f t="shared" si="16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3"/>
        <v/>
      </c>
      <c r="I202" s="394" t="str">
        <f t="shared" si="14"/>
        <v/>
      </c>
      <c r="J202" s="394" t="str">
        <f t="shared" si="15"/>
        <v/>
      </c>
      <c r="K202" s="394" t="str">
        <f t="shared" si="16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3"/>
        <v/>
      </c>
      <c r="I203" s="394" t="str">
        <f t="shared" si="14"/>
        <v/>
      </c>
      <c r="J203" s="394" t="str">
        <f t="shared" si="15"/>
        <v/>
      </c>
      <c r="K203" s="394" t="str">
        <f t="shared" si="16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3"/>
        <v/>
      </c>
      <c r="I204" s="394" t="str">
        <f t="shared" si="14"/>
        <v/>
      </c>
      <c r="J204" s="394" t="str">
        <f t="shared" si="15"/>
        <v/>
      </c>
      <c r="K204" s="394" t="str">
        <f t="shared" si="16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3"/>
        <v/>
      </c>
      <c r="I205" s="394" t="str">
        <f t="shared" si="14"/>
        <v/>
      </c>
      <c r="J205" s="394" t="str">
        <f t="shared" si="15"/>
        <v/>
      </c>
      <c r="K205" s="394" t="str">
        <f t="shared" si="16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3"/>
        <v/>
      </c>
      <c r="I206" s="394" t="str">
        <f t="shared" si="14"/>
        <v/>
      </c>
      <c r="J206" s="394" t="str">
        <f t="shared" si="15"/>
        <v/>
      </c>
      <c r="K206" s="394" t="str">
        <f t="shared" si="16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3"/>
        <v/>
      </c>
      <c r="I207" s="394" t="str">
        <f t="shared" si="14"/>
        <v/>
      </c>
      <c r="J207" s="394" t="str">
        <f t="shared" si="15"/>
        <v/>
      </c>
      <c r="K207" s="394" t="str">
        <f t="shared" si="16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3"/>
        <v/>
      </c>
      <c r="I208" s="394" t="str">
        <f t="shared" si="14"/>
        <v/>
      </c>
      <c r="J208" s="394" t="str">
        <f t="shared" si="15"/>
        <v/>
      </c>
      <c r="K208" s="394" t="str">
        <f t="shared" si="16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3"/>
        <v/>
      </c>
      <c r="I209" s="394" t="str">
        <f t="shared" si="14"/>
        <v/>
      </c>
      <c r="J209" s="394" t="str">
        <f t="shared" si="15"/>
        <v/>
      </c>
      <c r="K209" s="394" t="str">
        <f t="shared" si="16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3"/>
        <v/>
      </c>
      <c r="I210" s="394" t="str">
        <f t="shared" si="14"/>
        <v/>
      </c>
      <c r="J210" s="394" t="str">
        <f t="shared" si="15"/>
        <v/>
      </c>
      <c r="K210" s="394" t="str">
        <f t="shared" si="16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3"/>
        <v/>
      </c>
      <c r="I211" s="394" t="str">
        <f t="shared" si="14"/>
        <v/>
      </c>
      <c r="J211" s="394" t="str">
        <f t="shared" si="15"/>
        <v/>
      </c>
      <c r="K211" s="394" t="str">
        <f t="shared" si="16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3"/>
        <v/>
      </c>
      <c r="I212" s="394" t="str">
        <f t="shared" si="14"/>
        <v/>
      </c>
      <c r="J212" s="394" t="str">
        <f t="shared" si="15"/>
        <v/>
      </c>
      <c r="K212" s="394" t="str">
        <f t="shared" si="16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3"/>
        <v/>
      </c>
      <c r="I213" s="394" t="str">
        <f t="shared" si="14"/>
        <v/>
      </c>
      <c r="J213" s="394" t="str">
        <f t="shared" si="15"/>
        <v/>
      </c>
      <c r="K213" s="394" t="str">
        <f t="shared" si="16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3"/>
        <v/>
      </c>
      <c r="I214" s="394" t="str">
        <f t="shared" si="14"/>
        <v/>
      </c>
      <c r="J214" s="394" t="str">
        <f t="shared" si="15"/>
        <v/>
      </c>
      <c r="K214" s="394" t="str">
        <f t="shared" si="16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7">IF($C215="","",ROUND((($B$2*$F215*($B$5/1000))/$B$6)*(1+IF($B$18="",0,$B$18)),2))</f>
        <v/>
      </c>
      <c r="I215" s="394" t="str">
        <f t="shared" ref="I215:I278" si="18">IF($C215="","",ROUND((($B$3*$F215*($B$5/1000))/$B$6)*(1+IF($B$18="",0,$B$18)),2))</f>
        <v/>
      </c>
      <c r="J215" s="394" t="str">
        <f t="shared" ref="J215:J278" si="19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0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7"/>
        <v/>
      </c>
      <c r="I216" s="394" t="str">
        <f t="shared" si="18"/>
        <v/>
      </c>
      <c r="J216" s="394" t="str">
        <f t="shared" si="19"/>
        <v/>
      </c>
      <c r="K216" s="394" t="str">
        <f t="shared" si="20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7"/>
        <v/>
      </c>
      <c r="I217" s="394" t="str">
        <f t="shared" si="18"/>
        <v/>
      </c>
      <c r="J217" s="394" t="str">
        <f t="shared" si="19"/>
        <v/>
      </c>
      <c r="K217" s="394" t="str">
        <f t="shared" si="20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7"/>
        <v/>
      </c>
      <c r="I218" s="394" t="str">
        <f t="shared" si="18"/>
        <v/>
      </c>
      <c r="J218" s="394" t="str">
        <f t="shared" si="19"/>
        <v/>
      </c>
      <c r="K218" s="394" t="str">
        <f t="shared" si="20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7"/>
        <v/>
      </c>
      <c r="I219" s="394" t="str">
        <f t="shared" si="18"/>
        <v/>
      </c>
      <c r="J219" s="394" t="str">
        <f t="shared" si="19"/>
        <v/>
      </c>
      <c r="K219" s="394" t="str">
        <f t="shared" si="20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7"/>
        <v/>
      </c>
      <c r="I220" s="394" t="str">
        <f t="shared" si="18"/>
        <v/>
      </c>
      <c r="J220" s="394" t="str">
        <f t="shared" si="19"/>
        <v/>
      </c>
      <c r="K220" s="394" t="str">
        <f t="shared" si="20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7"/>
        <v/>
      </c>
      <c r="I221" s="394" t="str">
        <f t="shared" si="18"/>
        <v/>
      </c>
      <c r="J221" s="394" t="str">
        <f t="shared" si="19"/>
        <v/>
      </c>
      <c r="K221" s="394" t="str">
        <f t="shared" si="20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7"/>
        <v/>
      </c>
      <c r="I222" s="394" t="str">
        <f t="shared" si="18"/>
        <v/>
      </c>
      <c r="J222" s="394" t="str">
        <f t="shared" si="19"/>
        <v/>
      </c>
      <c r="K222" s="394" t="str">
        <f t="shared" si="20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7"/>
        <v/>
      </c>
      <c r="I223" s="394" t="str">
        <f t="shared" si="18"/>
        <v/>
      </c>
      <c r="J223" s="394" t="str">
        <f t="shared" si="19"/>
        <v/>
      </c>
      <c r="K223" s="394" t="str">
        <f t="shared" si="20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7"/>
        <v/>
      </c>
      <c r="I224" s="394" t="str">
        <f t="shared" si="18"/>
        <v/>
      </c>
      <c r="J224" s="394" t="str">
        <f t="shared" si="19"/>
        <v/>
      </c>
      <c r="K224" s="394" t="str">
        <f t="shared" si="20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7"/>
        <v/>
      </c>
      <c r="I225" s="394" t="str">
        <f t="shared" si="18"/>
        <v/>
      </c>
      <c r="J225" s="394" t="str">
        <f t="shared" si="19"/>
        <v/>
      </c>
      <c r="K225" s="394" t="str">
        <f t="shared" si="20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7"/>
        <v/>
      </c>
      <c r="I226" s="394" t="str">
        <f t="shared" si="18"/>
        <v/>
      </c>
      <c r="J226" s="394" t="str">
        <f t="shared" si="19"/>
        <v/>
      </c>
      <c r="K226" s="394" t="str">
        <f t="shared" si="20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7"/>
        <v/>
      </c>
      <c r="I227" s="394" t="str">
        <f t="shared" si="18"/>
        <v/>
      </c>
      <c r="J227" s="394" t="str">
        <f t="shared" si="19"/>
        <v/>
      </c>
      <c r="K227" s="394" t="str">
        <f t="shared" si="20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7"/>
        <v/>
      </c>
      <c r="I228" s="394" t="str">
        <f t="shared" si="18"/>
        <v/>
      </c>
      <c r="J228" s="394" t="str">
        <f t="shared" si="19"/>
        <v/>
      </c>
      <c r="K228" s="394" t="str">
        <f t="shared" si="20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7"/>
        <v/>
      </c>
      <c r="I229" s="394" t="str">
        <f t="shared" si="18"/>
        <v/>
      </c>
      <c r="J229" s="394" t="str">
        <f t="shared" si="19"/>
        <v/>
      </c>
      <c r="K229" s="394" t="str">
        <f t="shared" si="20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7"/>
        <v/>
      </c>
      <c r="I230" s="394" t="str">
        <f t="shared" si="18"/>
        <v/>
      </c>
      <c r="J230" s="394" t="str">
        <f t="shared" si="19"/>
        <v/>
      </c>
      <c r="K230" s="394" t="str">
        <f t="shared" si="20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7"/>
        <v/>
      </c>
      <c r="I231" s="394" t="str">
        <f t="shared" si="18"/>
        <v/>
      </c>
      <c r="J231" s="394" t="str">
        <f t="shared" si="19"/>
        <v/>
      </c>
      <c r="K231" s="394" t="str">
        <f t="shared" si="20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7"/>
        <v/>
      </c>
      <c r="I232" s="394" t="str">
        <f t="shared" si="18"/>
        <v/>
      </c>
      <c r="J232" s="394" t="str">
        <f t="shared" si="19"/>
        <v/>
      </c>
      <c r="K232" s="394" t="str">
        <f t="shared" si="20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7"/>
        <v/>
      </c>
      <c r="I233" s="394" t="str">
        <f t="shared" si="18"/>
        <v/>
      </c>
      <c r="J233" s="394" t="str">
        <f t="shared" si="19"/>
        <v/>
      </c>
      <c r="K233" s="394" t="str">
        <f t="shared" si="20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7"/>
        <v/>
      </c>
      <c r="I234" s="394" t="str">
        <f t="shared" si="18"/>
        <v/>
      </c>
      <c r="J234" s="394" t="str">
        <f t="shared" si="19"/>
        <v/>
      </c>
      <c r="K234" s="394" t="str">
        <f t="shared" si="20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7"/>
        <v/>
      </c>
      <c r="I235" s="394" t="str">
        <f t="shared" si="18"/>
        <v/>
      </c>
      <c r="J235" s="394" t="str">
        <f t="shared" si="19"/>
        <v/>
      </c>
      <c r="K235" s="394" t="str">
        <f t="shared" si="20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7"/>
        <v/>
      </c>
      <c r="I236" s="394" t="str">
        <f t="shared" si="18"/>
        <v/>
      </c>
      <c r="J236" s="394" t="str">
        <f t="shared" si="19"/>
        <v/>
      </c>
      <c r="K236" s="394" t="str">
        <f t="shared" si="20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7"/>
        <v/>
      </c>
      <c r="I237" s="394" t="str">
        <f t="shared" si="18"/>
        <v/>
      </c>
      <c r="J237" s="394" t="str">
        <f t="shared" si="19"/>
        <v/>
      </c>
      <c r="K237" s="394" t="str">
        <f t="shared" si="20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7"/>
        <v/>
      </c>
      <c r="I238" s="394" t="str">
        <f t="shared" si="18"/>
        <v/>
      </c>
      <c r="J238" s="394" t="str">
        <f t="shared" si="19"/>
        <v/>
      </c>
      <c r="K238" s="394" t="str">
        <f t="shared" si="20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7"/>
        <v/>
      </c>
      <c r="I239" s="394" t="str">
        <f t="shared" si="18"/>
        <v/>
      </c>
      <c r="J239" s="394" t="str">
        <f t="shared" si="19"/>
        <v/>
      </c>
      <c r="K239" s="394" t="str">
        <f t="shared" si="20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7"/>
        <v/>
      </c>
      <c r="I240" s="394" t="str">
        <f t="shared" si="18"/>
        <v/>
      </c>
      <c r="J240" s="394" t="str">
        <f t="shared" si="19"/>
        <v/>
      </c>
      <c r="K240" s="394" t="str">
        <f t="shared" si="20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7"/>
        <v/>
      </c>
      <c r="I241" s="394" t="str">
        <f t="shared" si="18"/>
        <v/>
      </c>
      <c r="J241" s="394" t="str">
        <f t="shared" si="19"/>
        <v/>
      </c>
      <c r="K241" s="394" t="str">
        <f t="shared" si="20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7"/>
        <v/>
      </c>
      <c r="I242" s="394" t="str">
        <f t="shared" si="18"/>
        <v/>
      </c>
      <c r="J242" s="394" t="str">
        <f t="shared" si="19"/>
        <v/>
      </c>
      <c r="K242" s="394" t="str">
        <f t="shared" si="20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7"/>
        <v/>
      </c>
      <c r="I243" s="394" t="str">
        <f t="shared" si="18"/>
        <v/>
      </c>
      <c r="J243" s="394" t="str">
        <f t="shared" si="19"/>
        <v/>
      </c>
      <c r="K243" s="394" t="str">
        <f t="shared" si="20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7"/>
        <v/>
      </c>
      <c r="I244" s="394" t="str">
        <f t="shared" si="18"/>
        <v/>
      </c>
      <c r="J244" s="394" t="str">
        <f t="shared" si="19"/>
        <v/>
      </c>
      <c r="K244" s="394" t="str">
        <f t="shared" si="20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7"/>
        <v/>
      </c>
      <c r="I245" s="394" t="str">
        <f t="shared" si="18"/>
        <v/>
      </c>
      <c r="J245" s="394" t="str">
        <f t="shared" si="19"/>
        <v/>
      </c>
      <c r="K245" s="394" t="str">
        <f t="shared" si="20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7"/>
        <v/>
      </c>
      <c r="I246" s="394" t="str">
        <f t="shared" si="18"/>
        <v/>
      </c>
      <c r="J246" s="394" t="str">
        <f t="shared" si="19"/>
        <v/>
      </c>
      <c r="K246" s="394" t="str">
        <f t="shared" si="20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7"/>
        <v/>
      </c>
      <c r="I247" s="394" t="str">
        <f t="shared" si="18"/>
        <v/>
      </c>
      <c r="J247" s="394" t="str">
        <f t="shared" si="19"/>
        <v/>
      </c>
      <c r="K247" s="394" t="str">
        <f t="shared" si="20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7"/>
        <v/>
      </c>
      <c r="I248" s="394" t="str">
        <f t="shared" si="18"/>
        <v/>
      </c>
      <c r="J248" s="394" t="str">
        <f t="shared" si="19"/>
        <v/>
      </c>
      <c r="K248" s="394" t="str">
        <f t="shared" si="20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7"/>
        <v/>
      </c>
      <c r="I249" s="394" t="str">
        <f t="shared" si="18"/>
        <v/>
      </c>
      <c r="J249" s="394" t="str">
        <f t="shared" si="19"/>
        <v/>
      </c>
      <c r="K249" s="394" t="str">
        <f t="shared" si="20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7"/>
        <v/>
      </c>
      <c r="I250" s="394" t="str">
        <f t="shared" si="18"/>
        <v/>
      </c>
      <c r="J250" s="394" t="str">
        <f t="shared" si="19"/>
        <v/>
      </c>
      <c r="K250" s="394" t="str">
        <f t="shared" si="20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7"/>
        <v/>
      </c>
      <c r="I251" s="394" t="str">
        <f t="shared" si="18"/>
        <v/>
      </c>
      <c r="J251" s="394" t="str">
        <f t="shared" si="19"/>
        <v/>
      </c>
      <c r="K251" s="394" t="str">
        <f t="shared" si="20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7"/>
        <v/>
      </c>
      <c r="I252" s="394" t="str">
        <f t="shared" si="18"/>
        <v/>
      </c>
      <c r="J252" s="394" t="str">
        <f t="shared" si="19"/>
        <v/>
      </c>
      <c r="K252" s="394" t="str">
        <f t="shared" si="20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7"/>
        <v/>
      </c>
      <c r="I253" s="394" t="str">
        <f t="shared" si="18"/>
        <v/>
      </c>
      <c r="J253" s="394" t="str">
        <f t="shared" si="19"/>
        <v/>
      </c>
      <c r="K253" s="394" t="str">
        <f t="shared" si="20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7"/>
        <v/>
      </c>
      <c r="I254" s="394" t="str">
        <f t="shared" si="18"/>
        <v/>
      </c>
      <c r="J254" s="394" t="str">
        <f t="shared" si="19"/>
        <v/>
      </c>
      <c r="K254" s="394" t="str">
        <f t="shared" si="20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7"/>
        <v/>
      </c>
      <c r="I255" s="394" t="str">
        <f t="shared" si="18"/>
        <v/>
      </c>
      <c r="J255" s="394" t="str">
        <f t="shared" si="19"/>
        <v/>
      </c>
      <c r="K255" s="394" t="str">
        <f t="shared" si="20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7"/>
        <v/>
      </c>
      <c r="I256" s="394" t="str">
        <f t="shared" si="18"/>
        <v/>
      </c>
      <c r="J256" s="394" t="str">
        <f t="shared" si="19"/>
        <v/>
      </c>
      <c r="K256" s="394" t="str">
        <f t="shared" si="20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7"/>
        <v/>
      </c>
      <c r="I257" s="394" t="str">
        <f t="shared" si="18"/>
        <v/>
      </c>
      <c r="J257" s="394" t="str">
        <f t="shared" si="19"/>
        <v/>
      </c>
      <c r="K257" s="394" t="str">
        <f t="shared" si="20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7"/>
        <v/>
      </c>
      <c r="I258" s="394" t="str">
        <f t="shared" si="18"/>
        <v/>
      </c>
      <c r="J258" s="394" t="str">
        <f t="shared" si="19"/>
        <v/>
      </c>
      <c r="K258" s="394" t="str">
        <f t="shared" si="20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7"/>
        <v/>
      </c>
      <c r="I259" s="394" t="str">
        <f t="shared" si="18"/>
        <v/>
      </c>
      <c r="J259" s="394" t="str">
        <f t="shared" si="19"/>
        <v/>
      </c>
      <c r="K259" s="394" t="str">
        <f t="shared" si="20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7"/>
        <v/>
      </c>
      <c r="I260" s="394" t="str">
        <f t="shared" si="18"/>
        <v/>
      </c>
      <c r="J260" s="394" t="str">
        <f t="shared" si="19"/>
        <v/>
      </c>
      <c r="K260" s="394" t="str">
        <f t="shared" si="20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7"/>
        <v/>
      </c>
      <c r="I261" s="394" t="str">
        <f t="shared" si="18"/>
        <v/>
      </c>
      <c r="J261" s="394" t="str">
        <f t="shared" si="19"/>
        <v/>
      </c>
      <c r="K261" s="394" t="str">
        <f t="shared" si="20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7"/>
        <v/>
      </c>
      <c r="I262" s="394" t="str">
        <f t="shared" si="18"/>
        <v/>
      </c>
      <c r="J262" s="394" t="str">
        <f t="shared" si="19"/>
        <v/>
      </c>
      <c r="K262" s="394" t="str">
        <f t="shared" si="20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7"/>
        <v/>
      </c>
      <c r="I263" s="394" t="str">
        <f t="shared" si="18"/>
        <v/>
      </c>
      <c r="J263" s="394" t="str">
        <f t="shared" si="19"/>
        <v/>
      </c>
      <c r="K263" s="394" t="str">
        <f t="shared" si="20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7"/>
        <v/>
      </c>
      <c r="I264" s="394" t="str">
        <f t="shared" si="18"/>
        <v/>
      </c>
      <c r="J264" s="394" t="str">
        <f t="shared" si="19"/>
        <v/>
      </c>
      <c r="K264" s="394" t="str">
        <f t="shared" si="20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7"/>
        <v/>
      </c>
      <c r="I265" s="394" t="str">
        <f t="shared" si="18"/>
        <v/>
      </c>
      <c r="J265" s="394" t="str">
        <f t="shared" si="19"/>
        <v/>
      </c>
      <c r="K265" s="394" t="str">
        <f t="shared" si="20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7"/>
        <v/>
      </c>
      <c r="I266" s="394" t="str">
        <f t="shared" si="18"/>
        <v/>
      </c>
      <c r="J266" s="394" t="str">
        <f t="shared" si="19"/>
        <v/>
      </c>
      <c r="K266" s="394" t="str">
        <f t="shared" si="20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7"/>
        <v/>
      </c>
      <c r="I267" s="394" t="str">
        <f t="shared" si="18"/>
        <v/>
      </c>
      <c r="J267" s="394" t="str">
        <f t="shared" si="19"/>
        <v/>
      </c>
      <c r="K267" s="394" t="str">
        <f t="shared" si="20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7"/>
        <v/>
      </c>
      <c r="I268" s="394" t="str">
        <f t="shared" si="18"/>
        <v/>
      </c>
      <c r="J268" s="394" t="str">
        <f t="shared" si="19"/>
        <v/>
      </c>
      <c r="K268" s="394" t="str">
        <f t="shared" si="20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7"/>
        <v/>
      </c>
      <c r="I269" s="394" t="str">
        <f t="shared" si="18"/>
        <v/>
      </c>
      <c r="J269" s="394" t="str">
        <f t="shared" si="19"/>
        <v/>
      </c>
      <c r="K269" s="394" t="str">
        <f t="shared" si="20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7"/>
        <v/>
      </c>
      <c r="I270" s="394" t="str">
        <f t="shared" si="18"/>
        <v/>
      </c>
      <c r="J270" s="394" t="str">
        <f t="shared" si="19"/>
        <v/>
      </c>
      <c r="K270" s="394" t="str">
        <f t="shared" si="20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7"/>
        <v/>
      </c>
      <c r="I271" s="394" t="str">
        <f t="shared" si="18"/>
        <v/>
      </c>
      <c r="J271" s="394" t="str">
        <f t="shared" si="19"/>
        <v/>
      </c>
      <c r="K271" s="394" t="str">
        <f t="shared" si="20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7"/>
        <v/>
      </c>
      <c r="I272" s="394" t="str">
        <f t="shared" si="18"/>
        <v/>
      </c>
      <c r="J272" s="394" t="str">
        <f t="shared" si="19"/>
        <v/>
      </c>
      <c r="K272" s="394" t="str">
        <f t="shared" si="20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7"/>
        <v/>
      </c>
      <c r="I273" s="394" t="str">
        <f t="shared" si="18"/>
        <v/>
      </c>
      <c r="J273" s="394" t="str">
        <f t="shared" si="19"/>
        <v/>
      </c>
      <c r="K273" s="394" t="str">
        <f t="shared" si="20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7"/>
        <v/>
      </c>
      <c r="I274" s="394" t="str">
        <f t="shared" si="18"/>
        <v/>
      </c>
      <c r="J274" s="394" t="str">
        <f t="shared" si="19"/>
        <v/>
      </c>
      <c r="K274" s="394" t="str">
        <f t="shared" si="20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7"/>
        <v/>
      </c>
      <c r="I275" s="394" t="str">
        <f t="shared" si="18"/>
        <v/>
      </c>
      <c r="J275" s="394" t="str">
        <f t="shared" si="19"/>
        <v/>
      </c>
      <c r="K275" s="394" t="str">
        <f t="shared" si="20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7"/>
        <v/>
      </c>
      <c r="I276" s="394" t="str">
        <f t="shared" si="18"/>
        <v/>
      </c>
      <c r="J276" s="394" t="str">
        <f t="shared" si="19"/>
        <v/>
      </c>
      <c r="K276" s="394" t="str">
        <f t="shared" si="20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7"/>
        <v/>
      </c>
      <c r="I277" s="394" t="str">
        <f t="shared" si="18"/>
        <v/>
      </c>
      <c r="J277" s="394" t="str">
        <f t="shared" si="19"/>
        <v/>
      </c>
      <c r="K277" s="394" t="str">
        <f t="shared" si="20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7"/>
        <v/>
      </c>
      <c r="I278" s="394" t="str">
        <f t="shared" si="18"/>
        <v/>
      </c>
      <c r="J278" s="394" t="str">
        <f t="shared" si="19"/>
        <v/>
      </c>
      <c r="K278" s="394" t="str">
        <f t="shared" si="20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1">IF($C279="","",ROUND((($B$2*$F279*($B$5/1000))/$B$6)*(1+IF($B$18="",0,$B$18)),2))</f>
        <v/>
      </c>
      <c r="I279" s="394" t="str">
        <f t="shared" ref="I279:I342" si="22">IF($C279="","",ROUND((($B$3*$F279*($B$5/1000))/$B$6)*(1+IF($B$18="",0,$B$18)),2))</f>
        <v/>
      </c>
      <c r="J279" s="394" t="str">
        <f t="shared" ref="J279:J342" si="23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4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1"/>
        <v/>
      </c>
      <c r="I280" s="394" t="str">
        <f t="shared" si="22"/>
        <v/>
      </c>
      <c r="J280" s="394" t="str">
        <f t="shared" si="23"/>
        <v/>
      </c>
      <c r="K280" s="394" t="str">
        <f t="shared" si="24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1"/>
        <v/>
      </c>
      <c r="I281" s="394" t="str">
        <f t="shared" si="22"/>
        <v/>
      </c>
      <c r="J281" s="394" t="str">
        <f t="shared" si="23"/>
        <v/>
      </c>
      <c r="K281" s="394" t="str">
        <f t="shared" si="24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1"/>
        <v/>
      </c>
      <c r="I282" s="394" t="str">
        <f t="shared" si="22"/>
        <v/>
      </c>
      <c r="J282" s="394" t="str">
        <f t="shared" si="23"/>
        <v/>
      </c>
      <c r="K282" s="394" t="str">
        <f t="shared" si="24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1"/>
        <v/>
      </c>
      <c r="I283" s="394" t="str">
        <f t="shared" si="22"/>
        <v/>
      </c>
      <c r="J283" s="394" t="str">
        <f t="shared" si="23"/>
        <v/>
      </c>
      <c r="K283" s="394" t="str">
        <f t="shared" si="24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1"/>
        <v/>
      </c>
      <c r="I284" s="394" t="str">
        <f t="shared" si="22"/>
        <v/>
      </c>
      <c r="J284" s="394" t="str">
        <f t="shared" si="23"/>
        <v/>
      </c>
      <c r="K284" s="394" t="str">
        <f t="shared" si="24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1"/>
        <v/>
      </c>
      <c r="I285" s="394" t="str">
        <f t="shared" si="22"/>
        <v/>
      </c>
      <c r="J285" s="394" t="str">
        <f t="shared" si="23"/>
        <v/>
      </c>
      <c r="K285" s="394" t="str">
        <f t="shared" si="24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1"/>
        <v/>
      </c>
      <c r="I286" s="394" t="str">
        <f t="shared" si="22"/>
        <v/>
      </c>
      <c r="J286" s="394" t="str">
        <f t="shared" si="23"/>
        <v/>
      </c>
      <c r="K286" s="394" t="str">
        <f t="shared" si="24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1"/>
        <v/>
      </c>
      <c r="I287" s="394" t="str">
        <f t="shared" si="22"/>
        <v/>
      </c>
      <c r="J287" s="394" t="str">
        <f t="shared" si="23"/>
        <v/>
      </c>
      <c r="K287" s="394" t="str">
        <f t="shared" si="24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1"/>
        <v/>
      </c>
      <c r="I288" s="394" t="str">
        <f t="shared" si="22"/>
        <v/>
      </c>
      <c r="J288" s="394" t="str">
        <f t="shared" si="23"/>
        <v/>
      </c>
      <c r="K288" s="394" t="str">
        <f t="shared" si="24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1"/>
        <v/>
      </c>
      <c r="I289" s="394" t="str">
        <f t="shared" si="22"/>
        <v/>
      </c>
      <c r="J289" s="394" t="str">
        <f t="shared" si="23"/>
        <v/>
      </c>
      <c r="K289" s="394" t="str">
        <f t="shared" si="24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1"/>
        <v/>
      </c>
      <c r="I290" s="394" t="str">
        <f t="shared" si="22"/>
        <v/>
      </c>
      <c r="J290" s="394" t="str">
        <f t="shared" si="23"/>
        <v/>
      </c>
      <c r="K290" s="394" t="str">
        <f t="shared" si="24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1"/>
        <v/>
      </c>
      <c r="I291" s="394" t="str">
        <f t="shared" si="22"/>
        <v/>
      </c>
      <c r="J291" s="394" t="str">
        <f t="shared" si="23"/>
        <v/>
      </c>
      <c r="K291" s="394" t="str">
        <f t="shared" si="24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1"/>
        <v/>
      </c>
      <c r="I292" s="394" t="str">
        <f t="shared" si="22"/>
        <v/>
      </c>
      <c r="J292" s="394" t="str">
        <f t="shared" si="23"/>
        <v/>
      </c>
      <c r="K292" s="394" t="str">
        <f t="shared" si="24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1"/>
        <v/>
      </c>
      <c r="I293" s="394" t="str">
        <f t="shared" si="22"/>
        <v/>
      </c>
      <c r="J293" s="394" t="str">
        <f t="shared" si="23"/>
        <v/>
      </c>
      <c r="K293" s="394" t="str">
        <f t="shared" si="24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1"/>
        <v/>
      </c>
      <c r="I294" s="394" t="str">
        <f t="shared" si="22"/>
        <v/>
      </c>
      <c r="J294" s="394" t="str">
        <f t="shared" si="23"/>
        <v/>
      </c>
      <c r="K294" s="394" t="str">
        <f t="shared" si="24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1"/>
        <v/>
      </c>
      <c r="I295" s="394" t="str">
        <f t="shared" si="22"/>
        <v/>
      </c>
      <c r="J295" s="394" t="str">
        <f t="shared" si="23"/>
        <v/>
      </c>
      <c r="K295" s="394" t="str">
        <f t="shared" si="24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1"/>
        <v/>
      </c>
      <c r="I296" s="394" t="str">
        <f t="shared" si="22"/>
        <v/>
      </c>
      <c r="J296" s="394" t="str">
        <f t="shared" si="23"/>
        <v/>
      </c>
      <c r="K296" s="394" t="str">
        <f t="shared" si="24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1"/>
        <v/>
      </c>
      <c r="I297" s="394" t="str">
        <f t="shared" si="22"/>
        <v/>
      </c>
      <c r="J297" s="394" t="str">
        <f t="shared" si="23"/>
        <v/>
      </c>
      <c r="K297" s="394" t="str">
        <f t="shared" si="24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1"/>
        <v/>
      </c>
      <c r="I298" s="394" t="str">
        <f t="shared" si="22"/>
        <v/>
      </c>
      <c r="J298" s="394" t="str">
        <f t="shared" si="23"/>
        <v/>
      </c>
      <c r="K298" s="394" t="str">
        <f t="shared" si="24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1"/>
        <v/>
      </c>
      <c r="I299" s="394" t="str">
        <f t="shared" si="22"/>
        <v/>
      </c>
      <c r="J299" s="394" t="str">
        <f t="shared" si="23"/>
        <v/>
      </c>
      <c r="K299" s="394" t="str">
        <f t="shared" si="24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1"/>
        <v/>
      </c>
      <c r="I300" s="394" t="str">
        <f t="shared" si="22"/>
        <v/>
      </c>
      <c r="J300" s="394" t="str">
        <f t="shared" si="23"/>
        <v/>
      </c>
      <c r="K300" s="394" t="str">
        <f t="shared" si="24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1"/>
        <v/>
      </c>
      <c r="I301" s="394" t="str">
        <f t="shared" si="22"/>
        <v/>
      </c>
      <c r="J301" s="394" t="str">
        <f t="shared" si="23"/>
        <v/>
      </c>
      <c r="K301" s="394" t="str">
        <f t="shared" si="24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1"/>
        <v/>
      </c>
      <c r="I302" s="394" t="str">
        <f t="shared" si="22"/>
        <v/>
      </c>
      <c r="J302" s="394" t="str">
        <f t="shared" si="23"/>
        <v/>
      </c>
      <c r="K302" s="394" t="str">
        <f t="shared" si="24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1"/>
        <v/>
      </c>
      <c r="I303" s="394" t="str">
        <f t="shared" si="22"/>
        <v/>
      </c>
      <c r="J303" s="394" t="str">
        <f t="shared" si="23"/>
        <v/>
      </c>
      <c r="K303" s="394" t="str">
        <f t="shared" si="24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1"/>
        <v/>
      </c>
      <c r="I304" s="394" t="str">
        <f t="shared" si="22"/>
        <v/>
      </c>
      <c r="J304" s="394" t="str">
        <f t="shared" si="23"/>
        <v/>
      </c>
      <c r="K304" s="394" t="str">
        <f t="shared" si="24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1"/>
        <v/>
      </c>
      <c r="I305" s="394" t="str">
        <f t="shared" si="22"/>
        <v/>
      </c>
      <c r="J305" s="394" t="str">
        <f t="shared" si="23"/>
        <v/>
      </c>
      <c r="K305" s="394" t="str">
        <f t="shared" si="24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1"/>
        <v/>
      </c>
      <c r="I306" s="394" t="str">
        <f t="shared" si="22"/>
        <v/>
      </c>
      <c r="J306" s="394" t="str">
        <f t="shared" si="23"/>
        <v/>
      </c>
      <c r="K306" s="394" t="str">
        <f t="shared" si="24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1"/>
        <v/>
      </c>
      <c r="I307" s="394" t="str">
        <f t="shared" si="22"/>
        <v/>
      </c>
      <c r="J307" s="394" t="str">
        <f t="shared" si="23"/>
        <v/>
      </c>
      <c r="K307" s="394" t="str">
        <f t="shared" si="24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1"/>
        <v/>
      </c>
      <c r="I308" s="394" t="str">
        <f t="shared" si="22"/>
        <v/>
      </c>
      <c r="J308" s="394" t="str">
        <f t="shared" si="23"/>
        <v/>
      </c>
      <c r="K308" s="394" t="str">
        <f t="shared" si="24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1"/>
        <v/>
      </c>
      <c r="I309" s="394" t="str">
        <f t="shared" si="22"/>
        <v/>
      </c>
      <c r="J309" s="394" t="str">
        <f t="shared" si="23"/>
        <v/>
      </c>
      <c r="K309" s="394" t="str">
        <f t="shared" si="24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1"/>
        <v/>
      </c>
      <c r="I310" s="394" t="str">
        <f t="shared" si="22"/>
        <v/>
      </c>
      <c r="J310" s="394" t="str">
        <f t="shared" si="23"/>
        <v/>
      </c>
      <c r="K310" s="394" t="str">
        <f t="shared" si="24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1"/>
        <v/>
      </c>
      <c r="I311" s="394" t="str">
        <f t="shared" si="22"/>
        <v/>
      </c>
      <c r="J311" s="394" t="str">
        <f t="shared" si="23"/>
        <v/>
      </c>
      <c r="K311" s="394" t="str">
        <f t="shared" si="24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1"/>
        <v/>
      </c>
      <c r="I312" s="394" t="str">
        <f t="shared" si="22"/>
        <v/>
      </c>
      <c r="J312" s="394" t="str">
        <f t="shared" si="23"/>
        <v/>
      </c>
      <c r="K312" s="394" t="str">
        <f t="shared" si="24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1"/>
        <v/>
      </c>
      <c r="I313" s="394" t="str">
        <f t="shared" si="22"/>
        <v/>
      </c>
      <c r="J313" s="394" t="str">
        <f t="shared" si="23"/>
        <v/>
      </c>
      <c r="K313" s="394" t="str">
        <f t="shared" si="24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1"/>
        <v/>
      </c>
      <c r="I314" s="394" t="str">
        <f t="shared" si="22"/>
        <v/>
      </c>
      <c r="J314" s="394" t="str">
        <f t="shared" si="23"/>
        <v/>
      </c>
      <c r="K314" s="394" t="str">
        <f t="shared" si="24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1"/>
        <v/>
      </c>
      <c r="I315" s="394" t="str">
        <f t="shared" si="22"/>
        <v/>
      </c>
      <c r="J315" s="394" t="str">
        <f t="shared" si="23"/>
        <v/>
      </c>
      <c r="K315" s="394" t="str">
        <f t="shared" si="24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1"/>
        <v/>
      </c>
      <c r="I316" s="394" t="str">
        <f t="shared" si="22"/>
        <v/>
      </c>
      <c r="J316" s="394" t="str">
        <f t="shared" si="23"/>
        <v/>
      </c>
      <c r="K316" s="394" t="str">
        <f t="shared" si="24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1"/>
        <v/>
      </c>
      <c r="I317" s="394" t="str">
        <f t="shared" si="22"/>
        <v/>
      </c>
      <c r="J317" s="394" t="str">
        <f t="shared" si="23"/>
        <v/>
      </c>
      <c r="K317" s="394" t="str">
        <f t="shared" si="24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1"/>
        <v/>
      </c>
      <c r="I318" s="394" t="str">
        <f t="shared" si="22"/>
        <v/>
      </c>
      <c r="J318" s="394" t="str">
        <f t="shared" si="23"/>
        <v/>
      </c>
      <c r="K318" s="394" t="str">
        <f t="shared" si="24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1"/>
        <v/>
      </c>
      <c r="I319" s="394" t="str">
        <f t="shared" si="22"/>
        <v/>
      </c>
      <c r="J319" s="394" t="str">
        <f t="shared" si="23"/>
        <v/>
      </c>
      <c r="K319" s="394" t="str">
        <f t="shared" si="24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1"/>
        <v/>
      </c>
      <c r="I320" s="394" t="str">
        <f t="shared" si="22"/>
        <v/>
      </c>
      <c r="J320" s="394" t="str">
        <f t="shared" si="23"/>
        <v/>
      </c>
      <c r="K320" s="394" t="str">
        <f t="shared" si="24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1"/>
        <v/>
      </c>
      <c r="I321" s="394" t="str">
        <f t="shared" si="22"/>
        <v/>
      </c>
      <c r="J321" s="394" t="str">
        <f t="shared" si="23"/>
        <v/>
      </c>
      <c r="K321" s="394" t="str">
        <f t="shared" si="24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1"/>
        <v/>
      </c>
      <c r="I322" s="394" t="str">
        <f t="shared" si="22"/>
        <v/>
      </c>
      <c r="J322" s="394" t="str">
        <f t="shared" si="23"/>
        <v/>
      </c>
      <c r="K322" s="394" t="str">
        <f t="shared" si="24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1"/>
        <v/>
      </c>
      <c r="I323" s="394" t="str">
        <f t="shared" si="22"/>
        <v/>
      </c>
      <c r="J323" s="394" t="str">
        <f t="shared" si="23"/>
        <v/>
      </c>
      <c r="K323" s="394" t="str">
        <f t="shared" si="24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1"/>
        <v/>
      </c>
      <c r="I324" s="394" t="str">
        <f t="shared" si="22"/>
        <v/>
      </c>
      <c r="J324" s="394" t="str">
        <f t="shared" si="23"/>
        <v/>
      </c>
      <c r="K324" s="394" t="str">
        <f t="shared" si="24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1"/>
        <v/>
      </c>
      <c r="I325" s="394" t="str">
        <f t="shared" si="22"/>
        <v/>
      </c>
      <c r="J325" s="394" t="str">
        <f t="shared" si="23"/>
        <v/>
      </c>
      <c r="K325" s="394" t="str">
        <f t="shared" si="24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1"/>
        <v/>
      </c>
      <c r="I326" s="394" t="str">
        <f t="shared" si="22"/>
        <v/>
      </c>
      <c r="J326" s="394" t="str">
        <f t="shared" si="23"/>
        <v/>
      </c>
      <c r="K326" s="394" t="str">
        <f t="shared" si="24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1"/>
        <v/>
      </c>
      <c r="I327" s="394" t="str">
        <f t="shared" si="22"/>
        <v/>
      </c>
      <c r="J327" s="394" t="str">
        <f t="shared" si="23"/>
        <v/>
      </c>
      <c r="K327" s="394" t="str">
        <f t="shared" si="24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1"/>
        <v/>
      </c>
      <c r="I328" s="394" t="str">
        <f t="shared" si="22"/>
        <v/>
      </c>
      <c r="J328" s="394" t="str">
        <f t="shared" si="23"/>
        <v/>
      </c>
      <c r="K328" s="394" t="str">
        <f t="shared" si="24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1"/>
        <v/>
      </c>
      <c r="I329" s="394" t="str">
        <f t="shared" si="22"/>
        <v/>
      </c>
      <c r="J329" s="394" t="str">
        <f t="shared" si="23"/>
        <v/>
      </c>
      <c r="K329" s="394" t="str">
        <f t="shared" si="24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1"/>
        <v/>
      </c>
      <c r="I330" s="394" t="str">
        <f t="shared" si="22"/>
        <v/>
      </c>
      <c r="J330" s="394" t="str">
        <f t="shared" si="23"/>
        <v/>
      </c>
      <c r="K330" s="394" t="str">
        <f t="shared" si="24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1"/>
        <v/>
      </c>
      <c r="I331" s="394" t="str">
        <f t="shared" si="22"/>
        <v/>
      </c>
      <c r="J331" s="394" t="str">
        <f t="shared" si="23"/>
        <v/>
      </c>
      <c r="K331" s="394" t="str">
        <f t="shared" si="24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1"/>
        <v/>
      </c>
      <c r="I332" s="394" t="str">
        <f t="shared" si="22"/>
        <v/>
      </c>
      <c r="J332" s="394" t="str">
        <f t="shared" si="23"/>
        <v/>
      </c>
      <c r="K332" s="394" t="str">
        <f t="shared" si="24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1"/>
        <v/>
      </c>
      <c r="I333" s="394" t="str">
        <f t="shared" si="22"/>
        <v/>
      </c>
      <c r="J333" s="394" t="str">
        <f t="shared" si="23"/>
        <v/>
      </c>
      <c r="K333" s="394" t="str">
        <f t="shared" si="24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1"/>
        <v/>
      </c>
      <c r="I334" s="394" t="str">
        <f t="shared" si="22"/>
        <v/>
      </c>
      <c r="J334" s="394" t="str">
        <f t="shared" si="23"/>
        <v/>
      </c>
      <c r="K334" s="394" t="str">
        <f t="shared" si="24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1"/>
        <v/>
      </c>
      <c r="I335" s="394" t="str">
        <f t="shared" si="22"/>
        <v/>
      </c>
      <c r="J335" s="394" t="str">
        <f t="shared" si="23"/>
        <v/>
      </c>
      <c r="K335" s="394" t="str">
        <f t="shared" si="24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1"/>
        <v/>
      </c>
      <c r="I336" s="394" t="str">
        <f t="shared" si="22"/>
        <v/>
      </c>
      <c r="J336" s="394" t="str">
        <f t="shared" si="23"/>
        <v/>
      </c>
      <c r="K336" s="394" t="str">
        <f t="shared" si="24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1"/>
        <v/>
      </c>
      <c r="I337" s="394" t="str">
        <f t="shared" si="22"/>
        <v/>
      </c>
      <c r="J337" s="394" t="str">
        <f t="shared" si="23"/>
        <v/>
      </c>
      <c r="K337" s="394" t="str">
        <f t="shared" si="24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1"/>
        <v/>
      </c>
      <c r="I338" s="394" t="str">
        <f t="shared" si="22"/>
        <v/>
      </c>
      <c r="J338" s="394" t="str">
        <f t="shared" si="23"/>
        <v/>
      </c>
      <c r="K338" s="394" t="str">
        <f t="shared" si="24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1"/>
        <v/>
      </c>
      <c r="I339" s="394" t="str">
        <f t="shared" si="22"/>
        <v/>
      </c>
      <c r="J339" s="394" t="str">
        <f t="shared" si="23"/>
        <v/>
      </c>
      <c r="K339" s="394" t="str">
        <f t="shared" si="24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1"/>
        <v/>
      </c>
      <c r="I340" s="394" t="str">
        <f t="shared" si="22"/>
        <v/>
      </c>
      <c r="J340" s="394" t="str">
        <f t="shared" si="23"/>
        <v/>
      </c>
      <c r="K340" s="394" t="str">
        <f t="shared" si="24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1"/>
        <v/>
      </c>
      <c r="I341" s="394" t="str">
        <f t="shared" si="22"/>
        <v/>
      </c>
      <c r="J341" s="394" t="str">
        <f t="shared" si="23"/>
        <v/>
      </c>
      <c r="K341" s="394" t="str">
        <f t="shared" si="24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1"/>
        <v/>
      </c>
      <c r="I342" s="394" t="str">
        <f t="shared" si="22"/>
        <v/>
      </c>
      <c r="J342" s="394" t="str">
        <f t="shared" si="23"/>
        <v/>
      </c>
      <c r="K342" s="394" t="str">
        <f t="shared" si="24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5">IF($C343="","",ROUND((($B$2*$F343*($B$5/1000))/$B$6)*(1+IF($B$18="",0,$B$18)),2))</f>
        <v/>
      </c>
      <c r="I343" s="394" t="str">
        <f t="shared" ref="I343:I406" si="26">IF($C343="","",ROUND((($B$3*$F343*($B$5/1000))/$B$6)*(1+IF($B$18="",0,$B$18)),2))</f>
        <v/>
      </c>
      <c r="J343" s="394" t="str">
        <f t="shared" ref="J343:J406" si="27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8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5"/>
        <v/>
      </c>
      <c r="I344" s="394" t="str">
        <f t="shared" si="26"/>
        <v/>
      </c>
      <c r="J344" s="394" t="str">
        <f t="shared" si="27"/>
        <v/>
      </c>
      <c r="K344" s="394" t="str">
        <f t="shared" si="28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5"/>
        <v/>
      </c>
      <c r="I345" s="394" t="str">
        <f t="shared" si="26"/>
        <v/>
      </c>
      <c r="J345" s="394" t="str">
        <f t="shared" si="27"/>
        <v/>
      </c>
      <c r="K345" s="394" t="str">
        <f t="shared" si="28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5"/>
        <v/>
      </c>
      <c r="I346" s="394" t="str">
        <f t="shared" si="26"/>
        <v/>
      </c>
      <c r="J346" s="394" t="str">
        <f t="shared" si="27"/>
        <v/>
      </c>
      <c r="K346" s="394" t="str">
        <f t="shared" si="28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5"/>
        <v/>
      </c>
      <c r="I347" s="394" t="str">
        <f t="shared" si="26"/>
        <v/>
      </c>
      <c r="J347" s="394" t="str">
        <f t="shared" si="27"/>
        <v/>
      </c>
      <c r="K347" s="394" t="str">
        <f t="shared" si="28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5"/>
        <v/>
      </c>
      <c r="I348" s="394" t="str">
        <f t="shared" si="26"/>
        <v/>
      </c>
      <c r="J348" s="394" t="str">
        <f t="shared" si="27"/>
        <v/>
      </c>
      <c r="K348" s="394" t="str">
        <f t="shared" si="28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5"/>
        <v/>
      </c>
      <c r="I349" s="394" t="str">
        <f t="shared" si="26"/>
        <v/>
      </c>
      <c r="J349" s="394" t="str">
        <f t="shared" si="27"/>
        <v/>
      </c>
      <c r="K349" s="394" t="str">
        <f t="shared" si="28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5"/>
        <v/>
      </c>
      <c r="I350" s="394" t="str">
        <f t="shared" si="26"/>
        <v/>
      </c>
      <c r="J350" s="394" t="str">
        <f t="shared" si="27"/>
        <v/>
      </c>
      <c r="K350" s="394" t="str">
        <f t="shared" si="28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5"/>
        <v/>
      </c>
      <c r="I351" s="394" t="str">
        <f t="shared" si="26"/>
        <v/>
      </c>
      <c r="J351" s="394" t="str">
        <f t="shared" si="27"/>
        <v/>
      </c>
      <c r="K351" s="394" t="str">
        <f t="shared" si="28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5"/>
        <v/>
      </c>
      <c r="I352" s="394" t="str">
        <f t="shared" si="26"/>
        <v/>
      </c>
      <c r="J352" s="394" t="str">
        <f t="shared" si="27"/>
        <v/>
      </c>
      <c r="K352" s="394" t="str">
        <f t="shared" si="28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5"/>
        <v/>
      </c>
      <c r="I353" s="394" t="str">
        <f t="shared" si="26"/>
        <v/>
      </c>
      <c r="J353" s="394" t="str">
        <f t="shared" si="27"/>
        <v/>
      </c>
      <c r="K353" s="394" t="str">
        <f t="shared" si="28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5"/>
        <v/>
      </c>
      <c r="I354" s="394" t="str">
        <f t="shared" si="26"/>
        <v/>
      </c>
      <c r="J354" s="394" t="str">
        <f t="shared" si="27"/>
        <v/>
      </c>
      <c r="K354" s="394" t="str">
        <f t="shared" si="28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5"/>
        <v/>
      </c>
      <c r="I355" s="394" t="str">
        <f t="shared" si="26"/>
        <v/>
      </c>
      <c r="J355" s="394" t="str">
        <f t="shared" si="27"/>
        <v/>
      </c>
      <c r="K355" s="394" t="str">
        <f t="shared" si="28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5"/>
        <v/>
      </c>
      <c r="I356" s="394" t="str">
        <f t="shared" si="26"/>
        <v/>
      </c>
      <c r="J356" s="394" t="str">
        <f t="shared" si="27"/>
        <v/>
      </c>
      <c r="K356" s="394" t="str">
        <f t="shared" si="28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5"/>
        <v/>
      </c>
      <c r="I357" s="394" t="str">
        <f t="shared" si="26"/>
        <v/>
      </c>
      <c r="J357" s="394" t="str">
        <f t="shared" si="27"/>
        <v/>
      </c>
      <c r="K357" s="394" t="str">
        <f t="shared" si="28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5"/>
        <v/>
      </c>
      <c r="I358" s="394" t="str">
        <f t="shared" si="26"/>
        <v/>
      </c>
      <c r="J358" s="394" t="str">
        <f t="shared" si="27"/>
        <v/>
      </c>
      <c r="K358" s="394" t="str">
        <f t="shared" si="28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5"/>
        <v/>
      </c>
      <c r="I359" s="394" t="str">
        <f t="shared" si="26"/>
        <v/>
      </c>
      <c r="J359" s="394" t="str">
        <f t="shared" si="27"/>
        <v/>
      </c>
      <c r="K359" s="394" t="str">
        <f t="shared" si="28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5"/>
        <v/>
      </c>
      <c r="I360" s="394" t="str">
        <f t="shared" si="26"/>
        <v/>
      </c>
      <c r="J360" s="394" t="str">
        <f t="shared" si="27"/>
        <v/>
      </c>
      <c r="K360" s="394" t="str">
        <f t="shared" si="28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5"/>
        <v/>
      </c>
      <c r="I361" s="394" t="str">
        <f t="shared" si="26"/>
        <v/>
      </c>
      <c r="J361" s="394" t="str">
        <f t="shared" si="27"/>
        <v/>
      </c>
      <c r="K361" s="394" t="str">
        <f t="shared" si="28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5"/>
        <v/>
      </c>
      <c r="I362" s="394" t="str">
        <f t="shared" si="26"/>
        <v/>
      </c>
      <c r="J362" s="394" t="str">
        <f t="shared" si="27"/>
        <v/>
      </c>
      <c r="K362" s="394" t="str">
        <f t="shared" si="28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5"/>
        <v/>
      </c>
      <c r="I363" s="394" t="str">
        <f t="shared" si="26"/>
        <v/>
      </c>
      <c r="J363" s="394" t="str">
        <f t="shared" si="27"/>
        <v/>
      </c>
      <c r="K363" s="394" t="str">
        <f t="shared" si="28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5"/>
        <v/>
      </c>
      <c r="I364" s="394" t="str">
        <f t="shared" si="26"/>
        <v/>
      </c>
      <c r="J364" s="394" t="str">
        <f t="shared" si="27"/>
        <v/>
      </c>
      <c r="K364" s="394" t="str">
        <f t="shared" si="28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5"/>
        <v/>
      </c>
      <c r="I365" s="394" t="str">
        <f t="shared" si="26"/>
        <v/>
      </c>
      <c r="J365" s="394" t="str">
        <f t="shared" si="27"/>
        <v/>
      </c>
      <c r="K365" s="394" t="str">
        <f t="shared" si="28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5"/>
        <v/>
      </c>
      <c r="I366" s="394" t="str">
        <f t="shared" si="26"/>
        <v/>
      </c>
      <c r="J366" s="394" t="str">
        <f t="shared" si="27"/>
        <v/>
      </c>
      <c r="K366" s="394" t="str">
        <f t="shared" si="28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5"/>
        <v/>
      </c>
      <c r="I367" s="394" t="str">
        <f t="shared" si="26"/>
        <v/>
      </c>
      <c r="J367" s="394" t="str">
        <f t="shared" si="27"/>
        <v/>
      </c>
      <c r="K367" s="394" t="str">
        <f t="shared" si="28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5"/>
        <v/>
      </c>
      <c r="I368" s="394" t="str">
        <f t="shared" si="26"/>
        <v/>
      </c>
      <c r="J368" s="394" t="str">
        <f t="shared" si="27"/>
        <v/>
      </c>
      <c r="K368" s="394" t="str">
        <f t="shared" si="28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5"/>
        <v/>
      </c>
      <c r="I369" s="394" t="str">
        <f t="shared" si="26"/>
        <v/>
      </c>
      <c r="J369" s="394" t="str">
        <f t="shared" si="27"/>
        <v/>
      </c>
      <c r="K369" s="394" t="str">
        <f t="shared" si="28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5"/>
        <v/>
      </c>
      <c r="I370" s="394" t="str">
        <f t="shared" si="26"/>
        <v/>
      </c>
      <c r="J370" s="394" t="str">
        <f t="shared" si="27"/>
        <v/>
      </c>
      <c r="K370" s="394" t="str">
        <f t="shared" si="28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5"/>
        <v/>
      </c>
      <c r="I371" s="394" t="str">
        <f t="shared" si="26"/>
        <v/>
      </c>
      <c r="J371" s="394" t="str">
        <f t="shared" si="27"/>
        <v/>
      </c>
      <c r="K371" s="394" t="str">
        <f t="shared" si="28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5"/>
        <v/>
      </c>
      <c r="I372" s="394" t="str">
        <f t="shared" si="26"/>
        <v/>
      </c>
      <c r="J372" s="394" t="str">
        <f t="shared" si="27"/>
        <v/>
      </c>
      <c r="K372" s="394" t="str">
        <f t="shared" si="28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5"/>
        <v/>
      </c>
      <c r="I373" s="394" t="str">
        <f t="shared" si="26"/>
        <v/>
      </c>
      <c r="J373" s="394" t="str">
        <f t="shared" si="27"/>
        <v/>
      </c>
      <c r="K373" s="394" t="str">
        <f t="shared" si="28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5"/>
        <v/>
      </c>
      <c r="I374" s="394" t="str">
        <f t="shared" si="26"/>
        <v/>
      </c>
      <c r="J374" s="394" t="str">
        <f t="shared" si="27"/>
        <v/>
      </c>
      <c r="K374" s="394" t="str">
        <f t="shared" si="28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5"/>
        <v/>
      </c>
      <c r="I375" s="394" t="str">
        <f t="shared" si="26"/>
        <v/>
      </c>
      <c r="J375" s="394" t="str">
        <f t="shared" si="27"/>
        <v/>
      </c>
      <c r="K375" s="394" t="str">
        <f t="shared" si="28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5"/>
        <v/>
      </c>
      <c r="I376" s="394" t="str">
        <f t="shared" si="26"/>
        <v/>
      </c>
      <c r="J376" s="394" t="str">
        <f t="shared" si="27"/>
        <v/>
      </c>
      <c r="K376" s="394" t="str">
        <f t="shared" si="28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5"/>
        <v/>
      </c>
      <c r="I377" s="394" t="str">
        <f t="shared" si="26"/>
        <v/>
      </c>
      <c r="J377" s="394" t="str">
        <f t="shared" si="27"/>
        <v/>
      </c>
      <c r="K377" s="394" t="str">
        <f t="shared" si="28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5"/>
        <v/>
      </c>
      <c r="I378" s="394" t="str">
        <f t="shared" si="26"/>
        <v/>
      </c>
      <c r="J378" s="394" t="str">
        <f t="shared" si="27"/>
        <v/>
      </c>
      <c r="K378" s="394" t="str">
        <f t="shared" si="28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5"/>
        <v/>
      </c>
      <c r="I379" s="394" t="str">
        <f t="shared" si="26"/>
        <v/>
      </c>
      <c r="J379" s="394" t="str">
        <f t="shared" si="27"/>
        <v/>
      </c>
      <c r="K379" s="394" t="str">
        <f t="shared" si="28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5"/>
        <v/>
      </c>
      <c r="I380" s="394" t="str">
        <f t="shared" si="26"/>
        <v/>
      </c>
      <c r="J380" s="394" t="str">
        <f t="shared" si="27"/>
        <v/>
      </c>
      <c r="K380" s="394" t="str">
        <f t="shared" si="28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5"/>
        <v/>
      </c>
      <c r="I381" s="394" t="str">
        <f t="shared" si="26"/>
        <v/>
      </c>
      <c r="J381" s="394" t="str">
        <f t="shared" si="27"/>
        <v/>
      </c>
      <c r="K381" s="394" t="str">
        <f t="shared" si="28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5"/>
        <v/>
      </c>
      <c r="I382" s="394" t="str">
        <f t="shared" si="26"/>
        <v/>
      </c>
      <c r="J382" s="394" t="str">
        <f t="shared" si="27"/>
        <v/>
      </c>
      <c r="K382" s="394" t="str">
        <f t="shared" si="28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5"/>
        <v/>
      </c>
      <c r="I383" s="394" t="str">
        <f t="shared" si="26"/>
        <v/>
      </c>
      <c r="J383" s="394" t="str">
        <f t="shared" si="27"/>
        <v/>
      </c>
      <c r="K383" s="394" t="str">
        <f t="shared" si="28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5"/>
        <v/>
      </c>
      <c r="I384" s="394" t="str">
        <f t="shared" si="26"/>
        <v/>
      </c>
      <c r="J384" s="394" t="str">
        <f t="shared" si="27"/>
        <v/>
      </c>
      <c r="K384" s="394" t="str">
        <f t="shared" si="28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5"/>
        <v/>
      </c>
      <c r="I385" s="394" t="str">
        <f t="shared" si="26"/>
        <v/>
      </c>
      <c r="J385" s="394" t="str">
        <f t="shared" si="27"/>
        <v/>
      </c>
      <c r="K385" s="394" t="str">
        <f t="shared" si="28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5"/>
        <v/>
      </c>
      <c r="I386" s="394" t="str">
        <f t="shared" si="26"/>
        <v/>
      </c>
      <c r="J386" s="394" t="str">
        <f t="shared" si="27"/>
        <v/>
      </c>
      <c r="K386" s="394" t="str">
        <f t="shared" si="28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5"/>
        <v/>
      </c>
      <c r="I387" s="394" t="str">
        <f t="shared" si="26"/>
        <v/>
      </c>
      <c r="J387" s="394" t="str">
        <f t="shared" si="27"/>
        <v/>
      </c>
      <c r="K387" s="394" t="str">
        <f t="shared" si="28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5"/>
        <v/>
      </c>
      <c r="I388" s="394" t="str">
        <f t="shared" si="26"/>
        <v/>
      </c>
      <c r="J388" s="394" t="str">
        <f t="shared" si="27"/>
        <v/>
      </c>
      <c r="K388" s="394" t="str">
        <f t="shared" si="28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5"/>
        <v/>
      </c>
      <c r="I389" s="394" t="str">
        <f t="shared" si="26"/>
        <v/>
      </c>
      <c r="J389" s="394" t="str">
        <f t="shared" si="27"/>
        <v/>
      </c>
      <c r="K389" s="394" t="str">
        <f t="shared" si="28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5"/>
        <v/>
      </c>
      <c r="I390" s="394" t="str">
        <f t="shared" si="26"/>
        <v/>
      </c>
      <c r="J390" s="394" t="str">
        <f t="shared" si="27"/>
        <v/>
      </c>
      <c r="K390" s="394" t="str">
        <f t="shared" si="28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5"/>
        <v/>
      </c>
      <c r="I391" s="394" t="str">
        <f t="shared" si="26"/>
        <v/>
      </c>
      <c r="J391" s="394" t="str">
        <f t="shared" si="27"/>
        <v/>
      </c>
      <c r="K391" s="394" t="str">
        <f t="shared" si="28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5"/>
        <v/>
      </c>
      <c r="I392" s="394" t="str">
        <f t="shared" si="26"/>
        <v/>
      </c>
      <c r="J392" s="394" t="str">
        <f t="shared" si="27"/>
        <v/>
      </c>
      <c r="K392" s="394" t="str">
        <f t="shared" si="28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5"/>
        <v/>
      </c>
      <c r="I393" s="394" t="str">
        <f t="shared" si="26"/>
        <v/>
      </c>
      <c r="J393" s="394" t="str">
        <f t="shared" si="27"/>
        <v/>
      </c>
      <c r="K393" s="394" t="str">
        <f t="shared" si="28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5"/>
        <v/>
      </c>
      <c r="I394" s="394" t="str">
        <f t="shared" si="26"/>
        <v/>
      </c>
      <c r="J394" s="394" t="str">
        <f t="shared" si="27"/>
        <v/>
      </c>
      <c r="K394" s="394" t="str">
        <f t="shared" si="28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5"/>
        <v/>
      </c>
      <c r="I395" s="394" t="str">
        <f t="shared" si="26"/>
        <v/>
      </c>
      <c r="J395" s="394" t="str">
        <f t="shared" si="27"/>
        <v/>
      </c>
      <c r="K395" s="394" t="str">
        <f t="shared" si="28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5"/>
        <v/>
      </c>
      <c r="I396" s="394" t="str">
        <f t="shared" si="26"/>
        <v/>
      </c>
      <c r="J396" s="394" t="str">
        <f t="shared" si="27"/>
        <v/>
      </c>
      <c r="K396" s="394" t="str">
        <f t="shared" si="28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5"/>
        <v/>
      </c>
      <c r="I397" s="394" t="str">
        <f t="shared" si="26"/>
        <v/>
      </c>
      <c r="J397" s="394" t="str">
        <f t="shared" si="27"/>
        <v/>
      </c>
      <c r="K397" s="394" t="str">
        <f t="shared" si="28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5"/>
        <v/>
      </c>
      <c r="I398" s="394" t="str">
        <f t="shared" si="26"/>
        <v/>
      </c>
      <c r="J398" s="394" t="str">
        <f t="shared" si="27"/>
        <v/>
      </c>
      <c r="K398" s="394" t="str">
        <f t="shared" si="28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5"/>
        <v/>
      </c>
      <c r="I399" s="394" t="str">
        <f t="shared" si="26"/>
        <v/>
      </c>
      <c r="J399" s="394" t="str">
        <f t="shared" si="27"/>
        <v/>
      </c>
      <c r="K399" s="394" t="str">
        <f t="shared" si="28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5"/>
        <v/>
      </c>
      <c r="I400" s="394" t="str">
        <f t="shared" si="26"/>
        <v/>
      </c>
      <c r="J400" s="394" t="str">
        <f t="shared" si="27"/>
        <v/>
      </c>
      <c r="K400" s="394" t="str">
        <f t="shared" si="28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5"/>
        <v/>
      </c>
      <c r="I401" s="394" t="str">
        <f t="shared" si="26"/>
        <v/>
      </c>
      <c r="J401" s="394" t="str">
        <f t="shared" si="27"/>
        <v/>
      </c>
      <c r="K401" s="394" t="str">
        <f t="shared" si="28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5"/>
        <v/>
      </c>
      <c r="I402" s="394" t="str">
        <f t="shared" si="26"/>
        <v/>
      </c>
      <c r="J402" s="394" t="str">
        <f t="shared" si="27"/>
        <v/>
      </c>
      <c r="K402" s="394" t="str">
        <f t="shared" si="28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5"/>
        <v/>
      </c>
      <c r="I403" s="394" t="str">
        <f t="shared" si="26"/>
        <v/>
      </c>
      <c r="J403" s="394" t="str">
        <f t="shared" si="27"/>
        <v/>
      </c>
      <c r="K403" s="394" t="str">
        <f t="shared" si="28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5"/>
        <v/>
      </c>
      <c r="I404" s="394" t="str">
        <f t="shared" si="26"/>
        <v/>
      </c>
      <c r="J404" s="394" t="str">
        <f t="shared" si="27"/>
        <v/>
      </c>
      <c r="K404" s="394" t="str">
        <f t="shared" si="28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5"/>
        <v/>
      </c>
      <c r="I405" s="394" t="str">
        <f t="shared" si="26"/>
        <v/>
      </c>
      <c r="J405" s="394" t="str">
        <f t="shared" si="27"/>
        <v/>
      </c>
      <c r="K405" s="394" t="str">
        <f t="shared" si="28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5"/>
        <v/>
      </c>
      <c r="I406" s="394" t="str">
        <f t="shared" si="26"/>
        <v/>
      </c>
      <c r="J406" s="394" t="str">
        <f t="shared" si="27"/>
        <v/>
      </c>
      <c r="K406" s="394" t="str">
        <f t="shared" si="28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29">IF($C407="","",ROUND((($B$2*$F407*($B$5/1000))/$B$6)*(1+IF($B$18="",0,$B$18)),2))</f>
        <v/>
      </c>
      <c r="I407" s="394" t="str">
        <f t="shared" ref="I407:I470" si="30">IF($C407="","",ROUND((($B$3*$F407*($B$5/1000))/$B$6)*(1+IF($B$18="",0,$B$18)),2))</f>
        <v/>
      </c>
      <c r="J407" s="394" t="str">
        <f t="shared" ref="J407:J470" si="31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2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29"/>
        <v/>
      </c>
      <c r="I408" s="394" t="str">
        <f t="shared" si="30"/>
        <v/>
      </c>
      <c r="J408" s="394" t="str">
        <f t="shared" si="31"/>
        <v/>
      </c>
      <c r="K408" s="394" t="str">
        <f t="shared" si="32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29"/>
        <v/>
      </c>
      <c r="I409" s="394" t="str">
        <f t="shared" si="30"/>
        <v/>
      </c>
      <c r="J409" s="394" t="str">
        <f t="shared" si="31"/>
        <v/>
      </c>
      <c r="K409" s="394" t="str">
        <f t="shared" si="32"/>
        <v/>
      </c>
      <c r="O409" s="370">
        <v>388</v>
      </c>
      <c r="P409" t="s">
        <v>1972</v>
      </c>
      <c r="Q409" s="5">
        <f>CalcEngine!W8</f>
        <v>28.661999999999999</v>
      </c>
      <c r="S409" s="1" t="str">
        <v/>
      </c>
    </row>
    <row r="410" spans="1:19" x14ac:dyDescent="0.25">
      <c r="A410" s="370" t="str">
        <v/>
      </c>
      <c r="H410" s="394" t="str">
        <f t="shared" si="29"/>
        <v/>
      </c>
      <c r="I410" s="394" t="str">
        <f t="shared" si="30"/>
        <v/>
      </c>
      <c r="J410" s="394" t="str">
        <f t="shared" si="31"/>
        <v/>
      </c>
      <c r="K410" s="394" t="str">
        <f t="shared" si="32"/>
        <v/>
      </c>
      <c r="O410" s="370">
        <v>389</v>
      </c>
      <c r="P410" t="s">
        <v>1973</v>
      </c>
      <c r="Q410" s="5">
        <f>CalcEngine!W11</f>
        <v>31.774000000000001</v>
      </c>
      <c r="S410" s="1" t="str">
        <v/>
      </c>
    </row>
    <row r="411" spans="1:19" x14ac:dyDescent="0.25">
      <c r="A411" s="370" t="str">
        <v/>
      </c>
      <c r="H411" s="394" t="str">
        <f t="shared" si="29"/>
        <v/>
      </c>
      <c r="I411" s="394" t="str">
        <f t="shared" si="30"/>
        <v/>
      </c>
      <c r="J411" s="394" t="str">
        <f t="shared" si="31"/>
        <v/>
      </c>
      <c r="K411" s="394" t="str">
        <f t="shared" si="32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29"/>
        <v/>
      </c>
      <c r="I412" s="394" t="str">
        <f t="shared" si="30"/>
        <v/>
      </c>
      <c r="J412" s="394" t="str">
        <f t="shared" si="31"/>
        <v/>
      </c>
      <c r="K412" s="394" t="str">
        <f t="shared" si="32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29"/>
        <v/>
      </c>
      <c r="I413" s="394" t="str">
        <f t="shared" si="30"/>
        <v/>
      </c>
      <c r="J413" s="394" t="str">
        <f t="shared" si="31"/>
        <v/>
      </c>
      <c r="K413" s="394" t="str">
        <f t="shared" si="32"/>
        <v/>
      </c>
      <c r="O413" s="370">
        <v>392</v>
      </c>
      <c r="P413" t="s">
        <v>1341</v>
      </c>
      <c r="Q413" s="5">
        <v>1.35</v>
      </c>
      <c r="S413" s="1" t="str">
        <v/>
      </c>
    </row>
    <row r="414" spans="1:19" x14ac:dyDescent="0.25">
      <c r="A414" s="370" t="str">
        <v/>
      </c>
      <c r="H414" s="394" t="str">
        <f t="shared" si="29"/>
        <v/>
      </c>
      <c r="I414" s="394" t="str">
        <f t="shared" si="30"/>
        <v/>
      </c>
      <c r="J414" s="394" t="str">
        <f t="shared" si="31"/>
        <v/>
      </c>
      <c r="K414" s="394" t="str">
        <f t="shared" si="32"/>
        <v/>
      </c>
      <c r="O414" s="370">
        <v>393</v>
      </c>
      <c r="P414" t="s">
        <v>1343</v>
      </c>
      <c r="Q414" s="5">
        <v>4.0599999999999996</v>
      </c>
      <c r="S414" s="1" t="str">
        <v/>
      </c>
    </row>
    <row r="415" spans="1:19" x14ac:dyDescent="0.25">
      <c r="A415" s="370" t="str">
        <v/>
      </c>
      <c r="H415" s="394" t="str">
        <f t="shared" si="29"/>
        <v/>
      </c>
      <c r="I415" s="394" t="str">
        <f t="shared" si="30"/>
        <v/>
      </c>
      <c r="J415" s="394" t="str">
        <f t="shared" si="31"/>
        <v/>
      </c>
      <c r="K415" s="394" t="str">
        <f t="shared" si="32"/>
        <v/>
      </c>
      <c r="O415" s="370">
        <v>394</v>
      </c>
      <c r="P415" t="s">
        <v>1345</v>
      </c>
      <c r="Q415" s="5">
        <v>0.7</v>
      </c>
      <c r="S415" s="1" t="str">
        <v/>
      </c>
    </row>
    <row r="416" spans="1:19" x14ac:dyDescent="0.25">
      <c r="A416" s="370" t="str">
        <v/>
      </c>
      <c r="H416" s="394" t="str">
        <f t="shared" si="29"/>
        <v/>
      </c>
      <c r="I416" s="394" t="str">
        <f t="shared" si="30"/>
        <v/>
      </c>
      <c r="J416" s="394" t="str">
        <f t="shared" si="31"/>
        <v/>
      </c>
      <c r="K416" s="394" t="str">
        <f t="shared" si="32"/>
        <v/>
      </c>
      <c r="O416" s="370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70" t="str">
        <v/>
      </c>
      <c r="H417" s="394" t="str">
        <f t="shared" si="29"/>
        <v/>
      </c>
      <c r="I417" s="394" t="str">
        <f t="shared" si="30"/>
        <v/>
      </c>
      <c r="J417" s="394" t="str">
        <f t="shared" si="31"/>
        <v/>
      </c>
      <c r="K417" s="394" t="str">
        <f t="shared" si="32"/>
        <v/>
      </c>
      <c r="O417" s="370">
        <v>396</v>
      </c>
      <c r="P417" t="s">
        <v>1423</v>
      </c>
      <c r="Q417" s="5">
        <v>13.5</v>
      </c>
      <c r="S417" s="1" t="str">
        <v/>
      </c>
    </row>
    <row r="418" spans="1:19" x14ac:dyDescent="0.25">
      <c r="A418" s="370" t="str">
        <v/>
      </c>
      <c r="H418" s="394" t="str">
        <f t="shared" si="29"/>
        <v/>
      </c>
      <c r="I418" s="394" t="str">
        <f t="shared" si="30"/>
        <v/>
      </c>
      <c r="J418" s="394" t="str">
        <f t="shared" si="31"/>
        <v/>
      </c>
      <c r="K418" s="394" t="str">
        <f t="shared" si="32"/>
        <v/>
      </c>
      <c r="O418" s="370">
        <v>397</v>
      </c>
      <c r="P418" t="s">
        <v>1424</v>
      </c>
      <c r="Q418" s="5">
        <v>15</v>
      </c>
      <c r="S418" s="1" t="str">
        <v/>
      </c>
    </row>
    <row r="419" spans="1:19" x14ac:dyDescent="0.25">
      <c r="A419" s="370" t="str">
        <v/>
      </c>
      <c r="H419" s="394" t="str">
        <f t="shared" si="29"/>
        <v/>
      </c>
      <c r="I419" s="394" t="str">
        <f t="shared" si="30"/>
        <v/>
      </c>
      <c r="J419" s="394" t="str">
        <f t="shared" si="31"/>
        <v/>
      </c>
      <c r="K419" s="394" t="str">
        <f t="shared" si="32"/>
        <v/>
      </c>
      <c r="O419" s="370">
        <v>398</v>
      </c>
      <c r="P419" t="s">
        <v>1422</v>
      </c>
      <c r="Q419" s="5">
        <v>18.75</v>
      </c>
      <c r="S419" s="1" t="str">
        <v/>
      </c>
    </row>
    <row r="420" spans="1:19" x14ac:dyDescent="0.25">
      <c r="A420" s="370" t="str">
        <v/>
      </c>
      <c r="H420" s="394" t="str">
        <f t="shared" si="29"/>
        <v/>
      </c>
      <c r="I420" s="394" t="str">
        <f t="shared" si="30"/>
        <v/>
      </c>
      <c r="J420" s="394" t="str">
        <f t="shared" si="31"/>
        <v/>
      </c>
      <c r="K420" s="394" t="str">
        <f t="shared" si="32"/>
        <v/>
      </c>
      <c r="O420" s="370">
        <v>399</v>
      </c>
      <c r="P420" t="s">
        <v>1352</v>
      </c>
      <c r="Q420" s="5">
        <v>5.28</v>
      </c>
      <c r="S420" s="1" t="str">
        <v/>
      </c>
    </row>
    <row r="421" spans="1:19" x14ac:dyDescent="0.25">
      <c r="A421" s="370" t="str">
        <v/>
      </c>
      <c r="H421" s="394" t="str">
        <f t="shared" si="29"/>
        <v/>
      </c>
      <c r="I421" s="394" t="str">
        <f t="shared" si="30"/>
        <v/>
      </c>
      <c r="J421" s="394" t="str">
        <f t="shared" si="31"/>
        <v/>
      </c>
      <c r="K421" s="394" t="str">
        <f t="shared" si="32"/>
        <v/>
      </c>
      <c r="O421" s="370">
        <v>400</v>
      </c>
      <c r="P421" t="s">
        <v>1353</v>
      </c>
      <c r="Q421" s="5">
        <v>1.6</v>
      </c>
      <c r="S421" s="1" t="str">
        <v/>
      </c>
    </row>
    <row r="422" spans="1:19" x14ac:dyDescent="0.25">
      <c r="A422" s="370" t="str">
        <v/>
      </c>
      <c r="H422" s="394" t="str">
        <f t="shared" si="29"/>
        <v/>
      </c>
      <c r="I422" s="394" t="str">
        <f t="shared" si="30"/>
        <v/>
      </c>
      <c r="J422" s="394" t="str">
        <f t="shared" si="31"/>
        <v/>
      </c>
      <c r="K422" s="394" t="str">
        <f t="shared" si="32"/>
        <v/>
      </c>
      <c r="O422" s="370">
        <v>401</v>
      </c>
      <c r="P422" t="s">
        <v>1342</v>
      </c>
      <c r="Q422" s="5">
        <v>0.63</v>
      </c>
      <c r="S422" s="1" t="str">
        <v/>
      </c>
    </row>
    <row r="423" spans="1:19" x14ac:dyDescent="0.25">
      <c r="A423" s="370" t="str">
        <v/>
      </c>
      <c r="H423" s="394" t="str">
        <f t="shared" si="29"/>
        <v/>
      </c>
      <c r="I423" s="394" t="str">
        <f t="shared" si="30"/>
        <v/>
      </c>
      <c r="J423" s="394" t="str">
        <f t="shared" si="31"/>
        <v/>
      </c>
      <c r="K423" s="394" t="str">
        <f t="shared" si="32"/>
        <v/>
      </c>
      <c r="O423" s="370">
        <v>402</v>
      </c>
      <c r="P423" t="s">
        <v>1354</v>
      </c>
      <c r="Q423" s="5">
        <v>5.9</v>
      </c>
      <c r="S423" s="1" t="str">
        <v/>
      </c>
    </row>
    <row r="424" spans="1:19" x14ac:dyDescent="0.25">
      <c r="A424" s="370" t="str">
        <v/>
      </c>
      <c r="H424" s="394" t="str">
        <f t="shared" si="29"/>
        <v/>
      </c>
      <c r="I424" s="394" t="str">
        <f t="shared" si="30"/>
        <v/>
      </c>
      <c r="J424" s="394" t="str">
        <f t="shared" si="31"/>
        <v/>
      </c>
      <c r="K424" s="394" t="str">
        <f t="shared" si="32"/>
        <v/>
      </c>
      <c r="O424" s="370" t="str">
        <v/>
      </c>
      <c r="S424" s="1" t="str">
        <v/>
      </c>
    </row>
    <row r="425" spans="1:19" x14ac:dyDescent="0.25">
      <c r="A425" s="370" t="str">
        <v/>
      </c>
      <c r="H425" s="394" t="str">
        <f t="shared" si="29"/>
        <v/>
      </c>
      <c r="I425" s="394" t="str">
        <f t="shared" si="30"/>
        <v/>
      </c>
      <c r="J425" s="394" t="str">
        <f t="shared" si="31"/>
        <v/>
      </c>
      <c r="K425" s="394" t="str">
        <f t="shared" si="32"/>
        <v/>
      </c>
      <c r="O425" s="370">
        <v>403</v>
      </c>
      <c r="P425" t="s">
        <v>1376</v>
      </c>
      <c r="Q425">
        <v>1.35</v>
      </c>
      <c r="S425" s="1" t="str">
        <v/>
      </c>
    </row>
    <row r="426" spans="1:19" x14ac:dyDescent="0.25">
      <c r="A426" s="370" t="str">
        <v/>
      </c>
      <c r="H426" s="394" t="str">
        <f t="shared" si="29"/>
        <v/>
      </c>
      <c r="I426" s="394" t="str">
        <f t="shared" si="30"/>
        <v/>
      </c>
      <c r="J426" s="394" t="str">
        <f t="shared" si="31"/>
        <v/>
      </c>
      <c r="K426" s="394" t="str">
        <f t="shared" si="32"/>
        <v/>
      </c>
      <c r="O426" s="370">
        <v>404</v>
      </c>
      <c r="P426" t="s">
        <v>1377</v>
      </c>
      <c r="Q426">
        <v>1.48</v>
      </c>
      <c r="S426" s="1" t="str">
        <v/>
      </c>
    </row>
    <row r="427" spans="1:19" x14ac:dyDescent="0.25">
      <c r="A427" s="370" t="str">
        <v/>
      </c>
      <c r="H427" s="394" t="str">
        <f t="shared" si="29"/>
        <v/>
      </c>
      <c r="I427" s="394" t="str">
        <f t="shared" si="30"/>
        <v/>
      </c>
      <c r="J427" s="394" t="str">
        <f t="shared" si="31"/>
        <v/>
      </c>
      <c r="K427" s="394" t="str">
        <f t="shared" si="32"/>
        <v/>
      </c>
      <c r="O427" s="370">
        <v>405</v>
      </c>
      <c r="P427" t="s">
        <v>1379</v>
      </c>
      <c r="Q427">
        <v>1.68</v>
      </c>
      <c r="S427" s="1" t="str">
        <v/>
      </c>
    </row>
    <row r="428" spans="1:19" x14ac:dyDescent="0.25">
      <c r="A428" s="370" t="str">
        <v/>
      </c>
      <c r="H428" s="394" t="str">
        <f t="shared" si="29"/>
        <v/>
      </c>
      <c r="I428" s="394" t="str">
        <f t="shared" si="30"/>
        <v/>
      </c>
      <c r="J428" s="394" t="str">
        <f t="shared" si="31"/>
        <v/>
      </c>
      <c r="K428" s="394" t="str">
        <f t="shared" si="32"/>
        <v/>
      </c>
      <c r="O428" s="370">
        <v>406</v>
      </c>
      <c r="P428" t="s">
        <v>1398</v>
      </c>
      <c r="Q428">
        <v>1.68</v>
      </c>
      <c r="S428" s="1" t="str">
        <v/>
      </c>
    </row>
    <row r="429" spans="1:19" x14ac:dyDescent="0.25">
      <c r="A429" s="370" t="str">
        <v/>
      </c>
      <c r="H429" s="394" t="str">
        <f t="shared" si="29"/>
        <v/>
      </c>
      <c r="I429" s="394" t="str">
        <f t="shared" si="30"/>
        <v/>
      </c>
      <c r="J429" s="394" t="str">
        <f t="shared" si="31"/>
        <v/>
      </c>
      <c r="K429" s="394" t="str">
        <f t="shared" si="32"/>
        <v/>
      </c>
      <c r="O429" s="370">
        <v>407</v>
      </c>
      <c r="P429" t="s">
        <v>1399</v>
      </c>
      <c r="Q429">
        <v>1.68</v>
      </c>
      <c r="S429" s="1" t="str">
        <v/>
      </c>
    </row>
    <row r="430" spans="1:19" x14ac:dyDescent="0.25">
      <c r="A430" s="370" t="str">
        <v/>
      </c>
      <c r="H430" s="394" t="str">
        <f t="shared" si="29"/>
        <v/>
      </c>
      <c r="I430" s="394" t="str">
        <f t="shared" si="30"/>
        <v/>
      </c>
      <c r="J430" s="394" t="str">
        <f t="shared" si="31"/>
        <v/>
      </c>
      <c r="K430" s="394" t="str">
        <f t="shared" si="32"/>
        <v/>
      </c>
      <c r="O430" s="370">
        <v>408</v>
      </c>
      <c r="P430" t="s">
        <v>1382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29"/>
        <v/>
      </c>
      <c r="I431" s="394" t="str">
        <f t="shared" si="30"/>
        <v/>
      </c>
      <c r="J431" s="394" t="str">
        <f t="shared" si="31"/>
        <v/>
      </c>
      <c r="K431" s="394" t="str">
        <f t="shared" si="32"/>
        <v/>
      </c>
      <c r="O431" s="370">
        <v>409</v>
      </c>
      <c r="P431" t="s">
        <v>1378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29"/>
        <v/>
      </c>
      <c r="I432" s="394" t="str">
        <f t="shared" si="30"/>
        <v/>
      </c>
      <c r="J432" s="394" t="str">
        <f t="shared" si="31"/>
        <v/>
      </c>
      <c r="K432" s="394" t="str">
        <f t="shared" si="32"/>
        <v/>
      </c>
      <c r="O432" s="370">
        <v>410</v>
      </c>
      <c r="P432" t="s">
        <v>1381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29"/>
        <v/>
      </c>
      <c r="I433" s="394" t="str">
        <f t="shared" si="30"/>
        <v/>
      </c>
      <c r="J433" s="394" t="str">
        <f t="shared" si="31"/>
        <v/>
      </c>
      <c r="K433" s="394" t="str">
        <f t="shared" si="32"/>
        <v/>
      </c>
      <c r="O433" s="370">
        <v>411</v>
      </c>
      <c r="P433" t="s">
        <v>1380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29"/>
        <v/>
      </c>
      <c r="I434" s="394" t="str">
        <f t="shared" si="30"/>
        <v/>
      </c>
      <c r="J434" s="394" t="str">
        <f t="shared" si="31"/>
        <v/>
      </c>
      <c r="K434" s="394" t="str">
        <f t="shared" si="32"/>
        <v/>
      </c>
      <c r="O434" s="370">
        <v>412</v>
      </c>
      <c r="P434" t="s">
        <v>1400</v>
      </c>
      <c r="Q434">
        <v>1.99</v>
      </c>
      <c r="S434" s="1" t="str">
        <v/>
      </c>
    </row>
    <row r="435" spans="1:19" x14ac:dyDescent="0.25">
      <c r="A435" s="370" t="str">
        <v/>
      </c>
      <c r="H435" s="394" t="str">
        <f t="shared" si="29"/>
        <v/>
      </c>
      <c r="I435" s="394" t="str">
        <f t="shared" si="30"/>
        <v/>
      </c>
      <c r="J435" s="394" t="str">
        <f t="shared" si="31"/>
        <v/>
      </c>
      <c r="K435" s="394" t="str">
        <f t="shared" si="32"/>
        <v/>
      </c>
      <c r="O435" s="370">
        <v>413</v>
      </c>
      <c r="P435" t="s">
        <v>1383</v>
      </c>
      <c r="Q435">
        <v>1.99</v>
      </c>
      <c r="S435" s="1" t="str">
        <v/>
      </c>
    </row>
    <row r="436" spans="1:19" x14ac:dyDescent="0.25">
      <c r="A436" s="370" t="str">
        <v/>
      </c>
      <c r="H436" s="394" t="str">
        <f t="shared" si="29"/>
        <v/>
      </c>
      <c r="I436" s="394" t="str">
        <f t="shared" si="30"/>
        <v/>
      </c>
      <c r="J436" s="394" t="str">
        <f t="shared" si="31"/>
        <v/>
      </c>
      <c r="K436" s="394" t="str">
        <f t="shared" si="32"/>
        <v/>
      </c>
      <c r="O436" s="370">
        <v>414</v>
      </c>
      <c r="P436" t="s">
        <v>1384</v>
      </c>
      <c r="Q436">
        <v>1.99</v>
      </c>
      <c r="S436" s="1" t="str">
        <v/>
      </c>
    </row>
    <row r="437" spans="1:19" x14ac:dyDescent="0.25">
      <c r="A437" s="370" t="str">
        <v/>
      </c>
      <c r="H437" s="394" t="str">
        <f t="shared" si="29"/>
        <v/>
      </c>
      <c r="I437" s="394" t="str">
        <f t="shared" si="30"/>
        <v/>
      </c>
      <c r="J437" s="394" t="str">
        <f t="shared" si="31"/>
        <v/>
      </c>
      <c r="K437" s="394" t="str">
        <f t="shared" si="32"/>
        <v/>
      </c>
      <c r="O437" s="370">
        <v>415</v>
      </c>
      <c r="P437" t="s">
        <v>1386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29"/>
        <v/>
      </c>
      <c r="I438" s="394" t="str">
        <f t="shared" si="30"/>
        <v/>
      </c>
      <c r="J438" s="394" t="str">
        <f t="shared" si="31"/>
        <v/>
      </c>
      <c r="K438" s="394" t="str">
        <f t="shared" si="32"/>
        <v/>
      </c>
      <c r="O438" s="370">
        <v>416</v>
      </c>
      <c r="P438" t="s">
        <v>1385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29"/>
        <v/>
      </c>
      <c r="I439" s="394" t="str">
        <f t="shared" si="30"/>
        <v/>
      </c>
      <c r="J439" s="394" t="str">
        <f t="shared" si="31"/>
        <v/>
      </c>
      <c r="K439" s="394" t="str">
        <f t="shared" si="32"/>
        <v/>
      </c>
      <c r="O439" s="370">
        <v>417</v>
      </c>
      <c r="P439" t="s">
        <v>1387</v>
      </c>
      <c r="Q439">
        <v>2.1800000000000002</v>
      </c>
      <c r="S439" s="1" t="str">
        <v/>
      </c>
    </row>
    <row r="440" spans="1:19" x14ac:dyDescent="0.25">
      <c r="A440" s="370" t="str">
        <v/>
      </c>
      <c r="H440" s="394" t="str">
        <f t="shared" si="29"/>
        <v/>
      </c>
      <c r="I440" s="394" t="str">
        <f t="shared" si="30"/>
        <v/>
      </c>
      <c r="J440" s="394" t="str">
        <f t="shared" si="31"/>
        <v/>
      </c>
      <c r="K440" s="394" t="str">
        <f t="shared" si="32"/>
        <v/>
      </c>
      <c r="O440" s="370">
        <v>418</v>
      </c>
      <c r="P440" t="s">
        <v>1388</v>
      </c>
      <c r="Q440">
        <v>2.1800000000000002</v>
      </c>
      <c r="S440" s="1" t="str">
        <v/>
      </c>
    </row>
    <row r="441" spans="1:19" x14ac:dyDescent="0.25">
      <c r="A441" s="370" t="str">
        <v/>
      </c>
      <c r="H441" s="394" t="str">
        <f t="shared" si="29"/>
        <v/>
      </c>
      <c r="I441" s="394" t="str">
        <f t="shared" si="30"/>
        <v/>
      </c>
      <c r="J441" s="394" t="str">
        <f t="shared" si="31"/>
        <v/>
      </c>
      <c r="K441" s="394" t="str">
        <f t="shared" si="32"/>
        <v/>
      </c>
      <c r="O441" s="370">
        <v>419</v>
      </c>
      <c r="P441" t="s">
        <v>1392</v>
      </c>
      <c r="Q441">
        <v>2.2799999999999998</v>
      </c>
      <c r="S441" s="1" t="str">
        <v/>
      </c>
    </row>
    <row r="442" spans="1:19" x14ac:dyDescent="0.25">
      <c r="A442" s="370" t="str">
        <v/>
      </c>
      <c r="H442" s="394" t="str">
        <f t="shared" si="29"/>
        <v/>
      </c>
      <c r="I442" s="394" t="str">
        <f t="shared" si="30"/>
        <v/>
      </c>
      <c r="J442" s="394" t="str">
        <f t="shared" si="31"/>
        <v/>
      </c>
      <c r="K442" s="394" t="str">
        <f t="shared" si="32"/>
        <v/>
      </c>
      <c r="O442" s="370">
        <v>420</v>
      </c>
      <c r="P442" t="s">
        <v>1390</v>
      </c>
      <c r="Q442">
        <v>2.2799999999999998</v>
      </c>
      <c r="S442" s="1" t="str">
        <v/>
      </c>
    </row>
    <row r="443" spans="1:19" x14ac:dyDescent="0.25">
      <c r="A443" s="370" t="str">
        <v/>
      </c>
      <c r="H443" s="394" t="str">
        <f t="shared" si="29"/>
        <v/>
      </c>
      <c r="I443" s="394" t="str">
        <f t="shared" si="30"/>
        <v/>
      </c>
      <c r="J443" s="394" t="str">
        <f t="shared" si="31"/>
        <v/>
      </c>
      <c r="K443" s="394" t="str">
        <f t="shared" si="32"/>
        <v/>
      </c>
      <c r="O443" s="370">
        <v>421</v>
      </c>
      <c r="P443" t="s">
        <v>1389</v>
      </c>
      <c r="Q443">
        <v>2.2799999999999998</v>
      </c>
      <c r="S443" s="1" t="str">
        <v/>
      </c>
    </row>
    <row r="444" spans="1:19" x14ac:dyDescent="0.25">
      <c r="A444" s="370" t="str">
        <v/>
      </c>
      <c r="H444" s="394" t="str">
        <f t="shared" si="29"/>
        <v/>
      </c>
      <c r="I444" s="394" t="str">
        <f t="shared" si="30"/>
        <v/>
      </c>
      <c r="J444" s="394" t="str">
        <f t="shared" si="31"/>
        <v/>
      </c>
      <c r="K444" s="394" t="str">
        <f t="shared" si="32"/>
        <v/>
      </c>
      <c r="O444" s="370">
        <v>422</v>
      </c>
      <c r="P444" t="s">
        <v>1391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29"/>
        <v/>
      </c>
      <c r="I445" s="394" t="str">
        <f t="shared" si="30"/>
        <v/>
      </c>
      <c r="J445" s="394" t="str">
        <f t="shared" si="31"/>
        <v/>
      </c>
      <c r="K445" s="394" t="str">
        <f t="shared" si="32"/>
        <v/>
      </c>
      <c r="O445" s="370">
        <v>423</v>
      </c>
      <c r="P445" t="s">
        <v>1393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29"/>
        <v/>
      </c>
      <c r="I446" s="394" t="str">
        <f t="shared" si="30"/>
        <v/>
      </c>
      <c r="J446" s="394" t="str">
        <f t="shared" si="31"/>
        <v/>
      </c>
      <c r="K446" s="394" t="str">
        <f t="shared" si="32"/>
        <v/>
      </c>
      <c r="O446" s="370">
        <v>424</v>
      </c>
      <c r="P446" t="s">
        <v>1394</v>
      </c>
      <c r="Q446">
        <v>2.48</v>
      </c>
      <c r="S446" s="1" t="str">
        <v/>
      </c>
    </row>
    <row r="447" spans="1:19" x14ac:dyDescent="0.25">
      <c r="A447" s="370" t="str">
        <v/>
      </c>
      <c r="H447" s="394" t="str">
        <f t="shared" si="29"/>
        <v/>
      </c>
      <c r="I447" s="394" t="str">
        <f t="shared" si="30"/>
        <v/>
      </c>
      <c r="J447" s="394" t="str">
        <f t="shared" si="31"/>
        <v/>
      </c>
      <c r="K447" s="394" t="str">
        <f t="shared" si="32"/>
        <v/>
      </c>
      <c r="O447" s="370">
        <v>425</v>
      </c>
      <c r="P447" t="s">
        <v>1395</v>
      </c>
      <c r="Q447">
        <v>2.48</v>
      </c>
      <c r="S447" s="1" t="str">
        <v/>
      </c>
    </row>
    <row r="448" spans="1:19" x14ac:dyDescent="0.25">
      <c r="A448" s="370" t="str">
        <v/>
      </c>
      <c r="H448" s="394" t="str">
        <f t="shared" si="29"/>
        <v/>
      </c>
      <c r="I448" s="394" t="str">
        <f t="shared" si="30"/>
        <v/>
      </c>
      <c r="J448" s="394" t="str">
        <f t="shared" si="31"/>
        <v/>
      </c>
      <c r="K448" s="394" t="str">
        <f t="shared" si="32"/>
        <v/>
      </c>
      <c r="O448" s="370">
        <v>426</v>
      </c>
      <c r="P448" t="s">
        <v>1401</v>
      </c>
      <c r="Q448">
        <v>2.59</v>
      </c>
      <c r="S448" s="1" t="str">
        <v/>
      </c>
    </row>
    <row r="449" spans="1:19" x14ac:dyDescent="0.25">
      <c r="A449" s="370" t="str">
        <v/>
      </c>
      <c r="H449" s="394" t="str">
        <f t="shared" si="29"/>
        <v/>
      </c>
      <c r="I449" s="394" t="str">
        <f t="shared" si="30"/>
        <v/>
      </c>
      <c r="J449" s="394" t="str">
        <f t="shared" si="31"/>
        <v/>
      </c>
      <c r="K449" s="394" t="str">
        <f t="shared" si="32"/>
        <v/>
      </c>
      <c r="O449" s="370">
        <v>427</v>
      </c>
      <c r="P449" t="s">
        <v>1396</v>
      </c>
      <c r="Q449">
        <v>2.88</v>
      </c>
      <c r="S449" s="1" t="str">
        <v/>
      </c>
    </row>
    <row r="450" spans="1:19" x14ac:dyDescent="0.25">
      <c r="A450" s="370" t="str">
        <v/>
      </c>
      <c r="H450" s="394" t="str">
        <f t="shared" si="29"/>
        <v/>
      </c>
      <c r="I450" s="394" t="str">
        <f t="shared" si="30"/>
        <v/>
      </c>
      <c r="J450" s="394" t="str">
        <f t="shared" si="31"/>
        <v/>
      </c>
      <c r="K450" s="394" t="str">
        <f t="shared" si="32"/>
        <v/>
      </c>
      <c r="O450" s="370" t="str">
        <v/>
      </c>
      <c r="S450" s="1" t="str">
        <v/>
      </c>
    </row>
    <row r="451" spans="1:19" x14ac:dyDescent="0.25">
      <c r="A451" s="370" t="str">
        <v/>
      </c>
      <c r="H451" s="394" t="str">
        <f t="shared" si="29"/>
        <v/>
      </c>
      <c r="I451" s="394" t="str">
        <f t="shared" si="30"/>
        <v/>
      </c>
      <c r="J451" s="394" t="str">
        <f t="shared" si="31"/>
        <v/>
      </c>
      <c r="K451" s="394" t="str">
        <f t="shared" si="32"/>
        <v/>
      </c>
      <c r="O451" s="370" t="str">
        <v/>
      </c>
      <c r="S451" s="1" t="str">
        <v/>
      </c>
    </row>
    <row r="452" spans="1:19" x14ac:dyDescent="0.25">
      <c r="A452" s="370" t="str">
        <v/>
      </c>
      <c r="H452" s="394" t="str">
        <f t="shared" si="29"/>
        <v/>
      </c>
      <c r="I452" s="394" t="str">
        <f t="shared" si="30"/>
        <v/>
      </c>
      <c r="J452" s="394" t="str">
        <f t="shared" si="31"/>
        <v/>
      </c>
      <c r="K452" s="394" t="str">
        <f t="shared" si="32"/>
        <v/>
      </c>
      <c r="O452" s="370" t="str">
        <v/>
      </c>
      <c r="S452" s="1" t="str">
        <v/>
      </c>
    </row>
    <row r="453" spans="1:19" x14ac:dyDescent="0.25">
      <c r="A453" s="370" t="str">
        <v/>
      </c>
      <c r="H453" s="394" t="str">
        <f t="shared" si="29"/>
        <v/>
      </c>
      <c r="I453" s="394" t="str">
        <f t="shared" si="30"/>
        <v/>
      </c>
      <c r="J453" s="394" t="str">
        <f t="shared" si="31"/>
        <v/>
      </c>
      <c r="K453" s="394" t="str">
        <f t="shared" si="32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29"/>
        <v/>
      </c>
      <c r="I454" s="394" t="str">
        <f t="shared" si="30"/>
        <v/>
      </c>
      <c r="J454" s="394" t="str">
        <f t="shared" si="31"/>
        <v/>
      </c>
      <c r="K454" s="394" t="str">
        <f t="shared" si="32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29"/>
        <v/>
      </c>
      <c r="I455" s="394" t="str">
        <f t="shared" si="30"/>
        <v/>
      </c>
      <c r="J455" s="394" t="str">
        <f t="shared" si="31"/>
        <v/>
      </c>
      <c r="K455" s="394" t="str">
        <f t="shared" si="32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29"/>
        <v/>
      </c>
      <c r="I456" s="394" t="str">
        <f t="shared" si="30"/>
        <v/>
      </c>
      <c r="J456" s="394" t="str">
        <f t="shared" si="31"/>
        <v/>
      </c>
      <c r="K456" s="394" t="str">
        <f t="shared" si="32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29"/>
        <v/>
      </c>
      <c r="I457" s="394" t="str">
        <f t="shared" si="30"/>
        <v/>
      </c>
      <c r="J457" s="394" t="str">
        <f t="shared" si="31"/>
        <v/>
      </c>
      <c r="K457" s="394" t="str">
        <f t="shared" si="32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29"/>
        <v/>
      </c>
      <c r="I458" s="394" t="str">
        <f t="shared" si="30"/>
        <v/>
      </c>
      <c r="J458" s="394" t="str">
        <f t="shared" si="31"/>
        <v/>
      </c>
      <c r="K458" s="394" t="str">
        <f t="shared" si="32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29"/>
        <v/>
      </c>
      <c r="I459" s="394" t="str">
        <f t="shared" si="30"/>
        <v/>
      </c>
      <c r="J459" s="394" t="str">
        <f t="shared" si="31"/>
        <v/>
      </c>
      <c r="K459" s="394" t="str">
        <f t="shared" si="32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29"/>
        <v/>
      </c>
      <c r="I460" s="394" t="str">
        <f t="shared" si="30"/>
        <v/>
      </c>
      <c r="J460" s="394" t="str">
        <f t="shared" si="31"/>
        <v/>
      </c>
      <c r="K460" s="394" t="str">
        <f t="shared" si="32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29"/>
        <v/>
      </c>
      <c r="I461" s="394" t="str">
        <f t="shared" si="30"/>
        <v/>
      </c>
      <c r="J461" s="394" t="str">
        <f t="shared" si="31"/>
        <v/>
      </c>
      <c r="K461" s="394" t="str">
        <f t="shared" si="32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29"/>
        <v/>
      </c>
      <c r="I462" s="394" t="str">
        <f t="shared" si="30"/>
        <v/>
      </c>
      <c r="J462" s="394" t="str">
        <f t="shared" si="31"/>
        <v/>
      </c>
      <c r="K462" s="394" t="str">
        <f t="shared" si="32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29"/>
        <v/>
      </c>
      <c r="I463" s="394" t="str">
        <f t="shared" si="30"/>
        <v/>
      </c>
      <c r="J463" s="394" t="str">
        <f t="shared" si="31"/>
        <v/>
      </c>
      <c r="K463" s="394" t="str">
        <f t="shared" si="32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29"/>
        <v/>
      </c>
      <c r="I464" s="394" t="str">
        <f t="shared" si="30"/>
        <v/>
      </c>
      <c r="J464" s="394" t="str">
        <f t="shared" si="31"/>
        <v/>
      </c>
      <c r="K464" s="394" t="str">
        <f t="shared" si="32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29"/>
        <v/>
      </c>
      <c r="I465" s="394" t="str">
        <f t="shared" si="30"/>
        <v/>
      </c>
      <c r="J465" s="394" t="str">
        <f t="shared" si="31"/>
        <v/>
      </c>
      <c r="K465" s="394" t="str">
        <f t="shared" si="32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29"/>
        <v/>
      </c>
      <c r="I466" s="394" t="str">
        <f t="shared" si="30"/>
        <v/>
      </c>
      <c r="J466" s="394" t="str">
        <f t="shared" si="31"/>
        <v/>
      </c>
      <c r="K466" s="394" t="str">
        <f t="shared" si="32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29"/>
        <v/>
      </c>
      <c r="I467" s="394" t="str">
        <f t="shared" si="30"/>
        <v/>
      </c>
      <c r="J467" s="394" t="str">
        <f t="shared" si="31"/>
        <v/>
      </c>
      <c r="K467" s="394" t="str">
        <f t="shared" si="32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29"/>
        <v/>
      </c>
      <c r="I468" s="394" t="str">
        <f t="shared" si="30"/>
        <v/>
      </c>
      <c r="J468" s="394" t="str">
        <f t="shared" si="31"/>
        <v/>
      </c>
      <c r="K468" s="394" t="str">
        <f t="shared" si="32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29"/>
        <v/>
      </c>
      <c r="I469" s="394" t="str">
        <f t="shared" si="30"/>
        <v/>
      </c>
      <c r="J469" s="394" t="str">
        <f t="shared" si="31"/>
        <v/>
      </c>
      <c r="K469" s="394" t="str">
        <f t="shared" si="32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29"/>
        <v/>
      </c>
      <c r="I470" s="394" t="str">
        <f t="shared" si="30"/>
        <v/>
      </c>
      <c r="J470" s="394" t="str">
        <f t="shared" si="31"/>
        <v/>
      </c>
      <c r="K470" s="394" t="str">
        <f t="shared" si="32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3">IF($C471="","",ROUND((($B$2*$F471*($B$5/1000))/$B$6)*(1+IF($B$18="",0,$B$18)),2))</f>
        <v/>
      </c>
      <c r="I471" s="394" t="str">
        <f t="shared" ref="I471:I534" si="34">IF($C471="","",ROUND((($B$3*$F471*($B$5/1000))/$B$6)*(1+IF($B$18="",0,$B$18)),2))</f>
        <v/>
      </c>
      <c r="J471" s="394" t="str">
        <f t="shared" ref="J471:J534" si="35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6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3"/>
        <v/>
      </c>
      <c r="I472" s="394" t="str">
        <f t="shared" si="34"/>
        <v/>
      </c>
      <c r="J472" s="394" t="str">
        <f t="shared" si="35"/>
        <v/>
      </c>
      <c r="K472" s="394" t="str">
        <f t="shared" si="36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3"/>
        <v/>
      </c>
      <c r="I473" s="394" t="str">
        <f t="shared" si="34"/>
        <v/>
      </c>
      <c r="J473" s="394" t="str">
        <f t="shared" si="35"/>
        <v/>
      </c>
      <c r="K473" s="394" t="str">
        <f t="shared" si="36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3"/>
        <v/>
      </c>
      <c r="I474" s="394" t="str">
        <f t="shared" si="34"/>
        <v/>
      </c>
      <c r="J474" s="394" t="str">
        <f t="shared" si="35"/>
        <v/>
      </c>
      <c r="K474" s="394" t="str">
        <f t="shared" si="36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3"/>
        <v/>
      </c>
      <c r="I475" s="394" t="str">
        <f t="shared" si="34"/>
        <v/>
      </c>
      <c r="J475" s="394" t="str">
        <f t="shared" si="35"/>
        <v/>
      </c>
      <c r="K475" s="394" t="str">
        <f t="shared" si="36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3"/>
        <v/>
      </c>
      <c r="I476" s="394" t="str">
        <f t="shared" si="34"/>
        <v/>
      </c>
      <c r="J476" s="394" t="str">
        <f t="shared" si="35"/>
        <v/>
      </c>
      <c r="K476" s="394" t="str">
        <f t="shared" si="36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3"/>
        <v/>
      </c>
      <c r="I477" s="394" t="str">
        <f t="shared" si="34"/>
        <v/>
      </c>
      <c r="J477" s="394" t="str">
        <f t="shared" si="35"/>
        <v/>
      </c>
      <c r="K477" s="394" t="str">
        <f t="shared" si="36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3"/>
        <v/>
      </c>
      <c r="I478" s="394" t="str">
        <f t="shared" si="34"/>
        <v/>
      </c>
      <c r="J478" s="394" t="str">
        <f t="shared" si="35"/>
        <v/>
      </c>
      <c r="K478" s="394" t="str">
        <f t="shared" si="36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3"/>
        <v/>
      </c>
      <c r="I479" s="394" t="str">
        <f t="shared" si="34"/>
        <v/>
      </c>
      <c r="J479" s="394" t="str">
        <f t="shared" si="35"/>
        <v/>
      </c>
      <c r="K479" s="394" t="str">
        <f t="shared" si="36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3"/>
        <v/>
      </c>
      <c r="I480" s="394" t="str">
        <f t="shared" si="34"/>
        <v/>
      </c>
      <c r="J480" s="394" t="str">
        <f t="shared" si="35"/>
        <v/>
      </c>
      <c r="K480" s="394" t="str">
        <f t="shared" si="36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3"/>
        <v/>
      </c>
      <c r="I481" s="394" t="str">
        <f t="shared" si="34"/>
        <v/>
      </c>
      <c r="J481" s="394" t="str">
        <f t="shared" si="35"/>
        <v/>
      </c>
      <c r="K481" s="394" t="str">
        <f t="shared" si="36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3"/>
        <v/>
      </c>
      <c r="I482" s="394" t="str">
        <f t="shared" si="34"/>
        <v/>
      </c>
      <c r="J482" s="394" t="str">
        <f t="shared" si="35"/>
        <v/>
      </c>
      <c r="K482" s="394" t="str">
        <f t="shared" si="36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3"/>
        <v/>
      </c>
      <c r="I483" s="394" t="str">
        <f t="shared" si="34"/>
        <v/>
      </c>
      <c r="J483" s="394" t="str">
        <f t="shared" si="35"/>
        <v/>
      </c>
      <c r="K483" s="394" t="str">
        <f t="shared" si="36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3"/>
        <v/>
      </c>
      <c r="I484" s="394" t="str">
        <f t="shared" si="34"/>
        <v/>
      </c>
      <c r="J484" s="394" t="str">
        <f t="shared" si="35"/>
        <v/>
      </c>
      <c r="K484" s="394" t="str">
        <f t="shared" si="36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3"/>
        <v/>
      </c>
      <c r="I485" s="394" t="str">
        <f t="shared" si="34"/>
        <v/>
      </c>
      <c r="J485" s="394" t="str">
        <f t="shared" si="35"/>
        <v/>
      </c>
      <c r="K485" s="394" t="str">
        <f t="shared" si="36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3"/>
        <v/>
      </c>
      <c r="I486" s="394" t="str">
        <f t="shared" si="34"/>
        <v/>
      </c>
      <c r="J486" s="394" t="str">
        <f t="shared" si="35"/>
        <v/>
      </c>
      <c r="K486" s="394" t="str">
        <f t="shared" si="36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3"/>
        <v/>
      </c>
      <c r="I487" s="394" t="str">
        <f t="shared" si="34"/>
        <v/>
      </c>
      <c r="J487" s="394" t="str">
        <f t="shared" si="35"/>
        <v/>
      </c>
      <c r="K487" s="394" t="str">
        <f t="shared" si="36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3"/>
        <v/>
      </c>
      <c r="I488" s="394" t="str">
        <f t="shared" si="34"/>
        <v/>
      </c>
      <c r="J488" s="394" t="str">
        <f t="shared" si="35"/>
        <v/>
      </c>
      <c r="K488" s="394" t="str">
        <f t="shared" si="36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3"/>
        <v/>
      </c>
      <c r="I489" s="394" t="str">
        <f t="shared" si="34"/>
        <v/>
      </c>
      <c r="J489" s="394" t="str">
        <f t="shared" si="35"/>
        <v/>
      </c>
      <c r="K489" s="394" t="str">
        <f t="shared" si="36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3"/>
        <v/>
      </c>
      <c r="I490" s="394" t="str">
        <f t="shared" si="34"/>
        <v/>
      </c>
      <c r="J490" s="394" t="str">
        <f t="shared" si="35"/>
        <v/>
      </c>
      <c r="K490" s="394" t="str">
        <f t="shared" si="36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3"/>
        <v/>
      </c>
      <c r="I491" s="394" t="str">
        <f t="shared" si="34"/>
        <v/>
      </c>
      <c r="J491" s="394" t="str">
        <f t="shared" si="35"/>
        <v/>
      </c>
      <c r="K491" s="394" t="str">
        <f t="shared" si="36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3"/>
        <v/>
      </c>
      <c r="I492" s="394" t="str">
        <f t="shared" si="34"/>
        <v/>
      </c>
      <c r="J492" s="394" t="str">
        <f t="shared" si="35"/>
        <v/>
      </c>
      <c r="K492" s="394" t="str">
        <f t="shared" si="36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3"/>
        <v/>
      </c>
      <c r="I493" s="394" t="str">
        <f t="shared" si="34"/>
        <v/>
      </c>
      <c r="J493" s="394" t="str">
        <f t="shared" si="35"/>
        <v/>
      </c>
      <c r="K493" s="394" t="str">
        <f t="shared" si="36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3"/>
        <v/>
      </c>
      <c r="I494" s="394" t="str">
        <f t="shared" si="34"/>
        <v/>
      </c>
      <c r="J494" s="394" t="str">
        <f t="shared" si="35"/>
        <v/>
      </c>
      <c r="K494" s="394" t="str">
        <f t="shared" si="36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3"/>
        <v/>
      </c>
      <c r="I495" s="394" t="str">
        <f t="shared" si="34"/>
        <v/>
      </c>
      <c r="J495" s="394" t="str">
        <f t="shared" si="35"/>
        <v/>
      </c>
      <c r="K495" s="394" t="str">
        <f t="shared" si="36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3"/>
        <v/>
      </c>
      <c r="I496" s="394" t="str">
        <f t="shared" si="34"/>
        <v/>
      </c>
      <c r="J496" s="394" t="str">
        <f t="shared" si="35"/>
        <v/>
      </c>
      <c r="K496" s="394" t="str">
        <f t="shared" si="36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3"/>
        <v/>
      </c>
      <c r="I497" s="394" t="str">
        <f t="shared" si="34"/>
        <v/>
      </c>
      <c r="J497" s="394" t="str">
        <f t="shared" si="35"/>
        <v/>
      </c>
      <c r="K497" s="394" t="str">
        <f t="shared" si="36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3"/>
        <v/>
      </c>
      <c r="I498" s="394" t="str">
        <f t="shared" si="34"/>
        <v/>
      </c>
      <c r="J498" s="394" t="str">
        <f t="shared" si="35"/>
        <v/>
      </c>
      <c r="K498" s="394" t="str">
        <f t="shared" si="36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3"/>
        <v/>
      </c>
      <c r="I499" s="394" t="str">
        <f t="shared" si="34"/>
        <v/>
      </c>
      <c r="J499" s="394" t="str">
        <f t="shared" si="35"/>
        <v/>
      </c>
      <c r="K499" s="394" t="str">
        <f t="shared" si="36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3"/>
        <v/>
      </c>
      <c r="I500" s="394" t="str">
        <f t="shared" si="34"/>
        <v/>
      </c>
      <c r="J500" s="394" t="str">
        <f t="shared" si="35"/>
        <v/>
      </c>
      <c r="K500" s="394" t="str">
        <f t="shared" si="36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3"/>
        <v/>
      </c>
      <c r="I501" s="394" t="str">
        <f t="shared" si="34"/>
        <v/>
      </c>
      <c r="J501" s="394" t="str">
        <f t="shared" si="35"/>
        <v/>
      </c>
      <c r="K501" s="394" t="str">
        <f t="shared" si="36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3"/>
        <v/>
      </c>
      <c r="I502" s="394" t="str">
        <f t="shared" si="34"/>
        <v/>
      </c>
      <c r="J502" s="394" t="str">
        <f t="shared" si="35"/>
        <v/>
      </c>
      <c r="K502" s="394" t="str">
        <f t="shared" si="36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3"/>
        <v/>
      </c>
      <c r="I503" s="394" t="str">
        <f t="shared" si="34"/>
        <v/>
      </c>
      <c r="J503" s="394" t="str">
        <f t="shared" si="35"/>
        <v/>
      </c>
      <c r="K503" s="394" t="str">
        <f t="shared" si="36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3"/>
        <v/>
      </c>
      <c r="I504" s="394" t="str">
        <f t="shared" si="34"/>
        <v/>
      </c>
      <c r="J504" s="394" t="str">
        <f t="shared" si="35"/>
        <v/>
      </c>
      <c r="K504" s="394" t="str">
        <f t="shared" si="36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3"/>
        <v/>
      </c>
      <c r="I505" s="394" t="str">
        <f t="shared" si="34"/>
        <v/>
      </c>
      <c r="J505" s="394" t="str">
        <f t="shared" si="35"/>
        <v/>
      </c>
      <c r="K505" s="394" t="str">
        <f t="shared" si="36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3"/>
        <v/>
      </c>
      <c r="I506" s="394" t="str">
        <f t="shared" si="34"/>
        <v/>
      </c>
      <c r="J506" s="394" t="str">
        <f t="shared" si="35"/>
        <v/>
      </c>
      <c r="K506" s="394" t="str">
        <f t="shared" si="36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3"/>
        <v/>
      </c>
      <c r="I507" s="394" t="str">
        <f t="shared" si="34"/>
        <v/>
      </c>
      <c r="J507" s="394" t="str">
        <f t="shared" si="35"/>
        <v/>
      </c>
      <c r="K507" s="394" t="str">
        <f t="shared" si="36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3"/>
        <v/>
      </c>
      <c r="I508" s="394" t="str">
        <f t="shared" si="34"/>
        <v/>
      </c>
      <c r="J508" s="394" t="str">
        <f t="shared" si="35"/>
        <v/>
      </c>
      <c r="K508" s="394" t="str">
        <f t="shared" si="36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3"/>
        <v/>
      </c>
      <c r="I509" s="394" t="str">
        <f t="shared" si="34"/>
        <v/>
      </c>
      <c r="J509" s="394" t="str">
        <f t="shared" si="35"/>
        <v/>
      </c>
      <c r="K509" s="394" t="str">
        <f t="shared" si="36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3"/>
        <v/>
      </c>
      <c r="I510" s="394" t="str">
        <f t="shared" si="34"/>
        <v/>
      </c>
      <c r="J510" s="394" t="str">
        <f t="shared" si="35"/>
        <v/>
      </c>
      <c r="K510" s="394" t="str">
        <f t="shared" si="36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3"/>
        <v/>
      </c>
      <c r="I511" s="394" t="str">
        <f t="shared" si="34"/>
        <v/>
      </c>
      <c r="J511" s="394" t="str">
        <f t="shared" si="35"/>
        <v/>
      </c>
      <c r="K511" s="394" t="str">
        <f t="shared" si="36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3"/>
        <v/>
      </c>
      <c r="I512" s="394" t="str">
        <f t="shared" si="34"/>
        <v/>
      </c>
      <c r="J512" s="394" t="str">
        <f t="shared" si="35"/>
        <v/>
      </c>
      <c r="K512" s="394" t="str">
        <f t="shared" si="36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3"/>
        <v/>
      </c>
      <c r="I513" s="394" t="str">
        <f t="shared" si="34"/>
        <v/>
      </c>
      <c r="J513" s="394" t="str">
        <f t="shared" si="35"/>
        <v/>
      </c>
      <c r="K513" s="394" t="str">
        <f t="shared" si="36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3"/>
        <v/>
      </c>
      <c r="I514" s="394" t="str">
        <f t="shared" si="34"/>
        <v/>
      </c>
      <c r="J514" s="394" t="str">
        <f t="shared" si="35"/>
        <v/>
      </c>
      <c r="K514" s="394" t="str">
        <f t="shared" si="36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3"/>
        <v/>
      </c>
      <c r="I515" s="394" t="str">
        <f t="shared" si="34"/>
        <v/>
      </c>
      <c r="J515" s="394" t="str">
        <f t="shared" si="35"/>
        <v/>
      </c>
      <c r="K515" s="394" t="str">
        <f t="shared" si="36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3"/>
        <v/>
      </c>
      <c r="I516" s="394" t="str">
        <f t="shared" si="34"/>
        <v/>
      </c>
      <c r="J516" s="394" t="str">
        <f t="shared" si="35"/>
        <v/>
      </c>
      <c r="K516" s="394" t="str">
        <f t="shared" si="36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3"/>
        <v/>
      </c>
      <c r="I517" s="394" t="str">
        <f t="shared" si="34"/>
        <v/>
      </c>
      <c r="J517" s="394" t="str">
        <f t="shared" si="35"/>
        <v/>
      </c>
      <c r="K517" s="394" t="str">
        <f t="shared" si="36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3"/>
        <v/>
      </c>
      <c r="I518" s="394" t="str">
        <f t="shared" si="34"/>
        <v/>
      </c>
      <c r="J518" s="394" t="str">
        <f t="shared" si="35"/>
        <v/>
      </c>
      <c r="K518" s="394" t="str">
        <f t="shared" si="36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3"/>
        <v/>
      </c>
      <c r="I519" s="394" t="str">
        <f t="shared" si="34"/>
        <v/>
      </c>
      <c r="J519" s="394" t="str">
        <f t="shared" si="35"/>
        <v/>
      </c>
      <c r="K519" s="394" t="str">
        <f t="shared" si="36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3"/>
        <v/>
      </c>
      <c r="I520" s="394" t="str">
        <f t="shared" si="34"/>
        <v/>
      </c>
      <c r="J520" s="394" t="str">
        <f t="shared" si="35"/>
        <v/>
      </c>
      <c r="K520" s="394" t="str">
        <f t="shared" si="36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3"/>
        <v/>
      </c>
      <c r="I521" s="394" t="str">
        <f t="shared" si="34"/>
        <v/>
      </c>
      <c r="J521" s="394" t="str">
        <f t="shared" si="35"/>
        <v/>
      </c>
      <c r="K521" s="394" t="str">
        <f t="shared" si="36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3"/>
        <v/>
      </c>
      <c r="I522" s="394" t="str">
        <f t="shared" si="34"/>
        <v/>
      </c>
      <c r="J522" s="394" t="str">
        <f t="shared" si="35"/>
        <v/>
      </c>
      <c r="K522" s="394" t="str">
        <f t="shared" si="36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3"/>
        <v/>
      </c>
      <c r="I523" s="394" t="str">
        <f t="shared" si="34"/>
        <v/>
      </c>
      <c r="J523" s="394" t="str">
        <f t="shared" si="35"/>
        <v/>
      </c>
      <c r="K523" s="394" t="str">
        <f t="shared" si="36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3"/>
        <v/>
      </c>
      <c r="I524" s="394" t="str">
        <f t="shared" si="34"/>
        <v/>
      </c>
      <c r="J524" s="394" t="str">
        <f t="shared" si="35"/>
        <v/>
      </c>
      <c r="K524" s="394" t="str">
        <f t="shared" si="36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3"/>
        <v/>
      </c>
      <c r="I525" s="394" t="str">
        <f t="shared" si="34"/>
        <v/>
      </c>
      <c r="J525" s="394" t="str">
        <f t="shared" si="35"/>
        <v/>
      </c>
      <c r="K525" s="394" t="str">
        <f t="shared" si="36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3"/>
        <v/>
      </c>
      <c r="I526" s="394" t="str">
        <f t="shared" si="34"/>
        <v/>
      </c>
      <c r="J526" s="394" t="str">
        <f t="shared" si="35"/>
        <v/>
      </c>
      <c r="K526" s="394" t="str">
        <f t="shared" si="36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3"/>
        <v/>
      </c>
      <c r="I527" s="394" t="str">
        <f t="shared" si="34"/>
        <v/>
      </c>
      <c r="J527" s="394" t="str">
        <f t="shared" si="35"/>
        <v/>
      </c>
      <c r="K527" s="394" t="str">
        <f t="shared" si="36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3"/>
        <v/>
      </c>
      <c r="I528" s="394" t="str">
        <f t="shared" si="34"/>
        <v/>
      </c>
      <c r="J528" s="394" t="str">
        <f t="shared" si="35"/>
        <v/>
      </c>
      <c r="K528" s="394" t="str">
        <f t="shared" si="36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3"/>
        <v/>
      </c>
      <c r="I529" s="394" t="str">
        <f t="shared" si="34"/>
        <v/>
      </c>
      <c r="J529" s="394" t="str">
        <f t="shared" si="35"/>
        <v/>
      </c>
      <c r="K529" s="394" t="str">
        <f t="shared" si="36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3"/>
        <v/>
      </c>
      <c r="I530" s="394" t="str">
        <f t="shared" si="34"/>
        <v/>
      </c>
      <c r="J530" s="394" t="str">
        <f t="shared" si="35"/>
        <v/>
      </c>
      <c r="K530" s="394" t="str">
        <f t="shared" si="36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3"/>
        <v/>
      </c>
      <c r="I531" s="394" t="str">
        <f t="shared" si="34"/>
        <v/>
      </c>
      <c r="J531" s="394" t="str">
        <f t="shared" si="35"/>
        <v/>
      </c>
      <c r="K531" s="394" t="str">
        <f t="shared" si="36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3"/>
        <v/>
      </c>
      <c r="I532" s="394" t="str">
        <f t="shared" si="34"/>
        <v/>
      </c>
      <c r="J532" s="394" t="str">
        <f t="shared" si="35"/>
        <v/>
      </c>
      <c r="K532" s="394" t="str">
        <f t="shared" si="36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3"/>
        <v/>
      </c>
      <c r="I533" s="394" t="str">
        <f t="shared" si="34"/>
        <v/>
      </c>
      <c r="J533" s="394" t="str">
        <f t="shared" si="35"/>
        <v/>
      </c>
      <c r="K533" s="394" t="str">
        <f t="shared" si="36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3"/>
        <v/>
      </c>
      <c r="I534" s="394" t="str">
        <f t="shared" si="34"/>
        <v/>
      </c>
      <c r="J534" s="394" t="str">
        <f t="shared" si="35"/>
        <v/>
      </c>
      <c r="K534" s="394" t="str">
        <f t="shared" si="36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7">IF($C535="","",ROUND((($B$2*$F535*($B$5/1000))/$B$6)*(1+IF($B$18="",0,$B$18)),2))</f>
        <v/>
      </c>
      <c r="I535" s="394" t="str">
        <f t="shared" ref="I535:I598" si="38">IF($C535="","",ROUND((($B$3*$F535*($B$5/1000))/$B$6)*(1+IF($B$18="",0,$B$18)),2))</f>
        <v/>
      </c>
      <c r="J535" s="394" t="str">
        <f t="shared" ref="J535:J598" si="39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0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7"/>
        <v/>
      </c>
      <c r="I536" s="394" t="str">
        <f t="shared" si="38"/>
        <v/>
      </c>
      <c r="J536" s="394" t="str">
        <f t="shared" si="39"/>
        <v/>
      </c>
      <c r="K536" s="394" t="str">
        <f t="shared" si="40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7"/>
        <v/>
      </c>
      <c r="I537" s="394" t="str">
        <f t="shared" si="38"/>
        <v/>
      </c>
      <c r="J537" s="394" t="str">
        <f t="shared" si="39"/>
        <v/>
      </c>
      <c r="K537" s="394" t="str">
        <f t="shared" si="40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7"/>
        <v/>
      </c>
      <c r="I538" s="394" t="str">
        <f t="shared" si="38"/>
        <v/>
      </c>
      <c r="J538" s="394" t="str">
        <f t="shared" si="39"/>
        <v/>
      </c>
      <c r="K538" s="394" t="str">
        <f t="shared" si="40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7"/>
        <v/>
      </c>
      <c r="I539" s="394" t="str">
        <f t="shared" si="38"/>
        <v/>
      </c>
      <c r="J539" s="394" t="str">
        <f t="shared" si="39"/>
        <v/>
      </c>
      <c r="K539" s="394" t="str">
        <f t="shared" si="40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7"/>
        <v/>
      </c>
      <c r="I540" s="394" t="str">
        <f t="shared" si="38"/>
        <v/>
      </c>
      <c r="J540" s="394" t="str">
        <f t="shared" si="39"/>
        <v/>
      </c>
      <c r="K540" s="394" t="str">
        <f t="shared" si="40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7"/>
        <v/>
      </c>
      <c r="I541" s="394" t="str">
        <f t="shared" si="38"/>
        <v/>
      </c>
      <c r="J541" s="394" t="str">
        <f t="shared" si="39"/>
        <v/>
      </c>
      <c r="K541" s="394" t="str">
        <f t="shared" si="40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7"/>
        <v/>
      </c>
      <c r="I542" s="394" t="str">
        <f t="shared" si="38"/>
        <v/>
      </c>
      <c r="J542" s="394" t="str">
        <f t="shared" si="39"/>
        <v/>
      </c>
      <c r="K542" s="394" t="str">
        <f t="shared" si="40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7"/>
        <v/>
      </c>
      <c r="I543" s="394" t="str">
        <f t="shared" si="38"/>
        <v/>
      </c>
      <c r="J543" s="394" t="str">
        <f t="shared" si="39"/>
        <v/>
      </c>
      <c r="K543" s="394" t="str">
        <f t="shared" si="40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7"/>
        <v/>
      </c>
      <c r="I544" s="394" t="str">
        <f t="shared" si="38"/>
        <v/>
      </c>
      <c r="J544" s="394" t="str">
        <f t="shared" si="39"/>
        <v/>
      </c>
      <c r="K544" s="394" t="str">
        <f t="shared" si="40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7"/>
        <v/>
      </c>
      <c r="I545" s="394" t="str">
        <f t="shared" si="38"/>
        <v/>
      </c>
      <c r="J545" s="394" t="str">
        <f t="shared" si="39"/>
        <v/>
      </c>
      <c r="K545" s="394" t="str">
        <f t="shared" si="40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7"/>
        <v/>
      </c>
      <c r="I546" s="394" t="str">
        <f t="shared" si="38"/>
        <v/>
      </c>
      <c r="J546" s="394" t="str">
        <f t="shared" si="39"/>
        <v/>
      </c>
      <c r="K546" s="394" t="str">
        <f t="shared" si="40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7"/>
        <v/>
      </c>
      <c r="I547" s="394" t="str">
        <f t="shared" si="38"/>
        <v/>
      </c>
      <c r="J547" s="394" t="str">
        <f t="shared" si="39"/>
        <v/>
      </c>
      <c r="K547" s="394" t="str">
        <f t="shared" si="40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7"/>
        <v/>
      </c>
      <c r="I548" s="394" t="str">
        <f t="shared" si="38"/>
        <v/>
      </c>
      <c r="J548" s="394" t="str">
        <f t="shared" si="39"/>
        <v/>
      </c>
      <c r="K548" s="394" t="str">
        <f t="shared" si="40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7"/>
        <v/>
      </c>
      <c r="I549" s="394" t="str">
        <f t="shared" si="38"/>
        <v/>
      </c>
      <c r="J549" s="394" t="str">
        <f t="shared" si="39"/>
        <v/>
      </c>
      <c r="K549" s="394" t="str">
        <f t="shared" si="40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7"/>
        <v/>
      </c>
      <c r="I550" s="394" t="str">
        <f t="shared" si="38"/>
        <v/>
      </c>
      <c r="J550" s="394" t="str">
        <f t="shared" si="39"/>
        <v/>
      </c>
      <c r="K550" s="394" t="str">
        <f t="shared" si="40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7"/>
        <v/>
      </c>
      <c r="I551" s="394" t="str">
        <f t="shared" si="38"/>
        <v/>
      </c>
      <c r="J551" s="394" t="str">
        <f t="shared" si="39"/>
        <v/>
      </c>
      <c r="K551" s="394" t="str">
        <f t="shared" si="40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7"/>
        <v/>
      </c>
      <c r="I552" s="394" t="str">
        <f t="shared" si="38"/>
        <v/>
      </c>
      <c r="J552" s="394" t="str">
        <f t="shared" si="39"/>
        <v/>
      </c>
      <c r="K552" s="394" t="str">
        <f t="shared" si="40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7"/>
        <v/>
      </c>
      <c r="I553" s="394" t="str">
        <f t="shared" si="38"/>
        <v/>
      </c>
      <c r="J553" s="394" t="str">
        <f t="shared" si="39"/>
        <v/>
      </c>
      <c r="K553" s="394" t="str">
        <f t="shared" si="40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7"/>
        <v/>
      </c>
      <c r="I554" s="394" t="str">
        <f t="shared" si="38"/>
        <v/>
      </c>
      <c r="J554" s="394" t="str">
        <f t="shared" si="39"/>
        <v/>
      </c>
      <c r="K554" s="394" t="str">
        <f t="shared" si="40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7"/>
        <v/>
      </c>
      <c r="I555" s="394" t="str">
        <f t="shared" si="38"/>
        <v/>
      </c>
      <c r="J555" s="394" t="str">
        <f t="shared" si="39"/>
        <v/>
      </c>
      <c r="K555" s="394" t="str">
        <f t="shared" si="40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7"/>
        <v/>
      </c>
      <c r="I556" s="394" t="str">
        <f t="shared" si="38"/>
        <v/>
      </c>
      <c r="J556" s="394" t="str">
        <f t="shared" si="39"/>
        <v/>
      </c>
      <c r="K556" s="394" t="str">
        <f t="shared" si="40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7"/>
        <v/>
      </c>
      <c r="I557" s="394" t="str">
        <f t="shared" si="38"/>
        <v/>
      </c>
      <c r="J557" s="394" t="str">
        <f t="shared" si="39"/>
        <v/>
      </c>
      <c r="K557" s="394" t="str">
        <f t="shared" si="40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7"/>
        <v/>
      </c>
      <c r="I558" s="394" t="str">
        <f t="shared" si="38"/>
        <v/>
      </c>
      <c r="J558" s="394" t="str">
        <f t="shared" si="39"/>
        <v/>
      </c>
      <c r="K558" s="394" t="str">
        <f t="shared" si="40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7"/>
        <v/>
      </c>
      <c r="I559" s="394" t="str">
        <f t="shared" si="38"/>
        <v/>
      </c>
      <c r="J559" s="394" t="str">
        <f t="shared" si="39"/>
        <v/>
      </c>
      <c r="K559" s="394" t="str">
        <f t="shared" si="40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7"/>
        <v/>
      </c>
      <c r="I560" s="394" t="str">
        <f t="shared" si="38"/>
        <v/>
      </c>
      <c r="J560" s="394" t="str">
        <f t="shared" si="39"/>
        <v/>
      </c>
      <c r="K560" s="394" t="str">
        <f t="shared" si="40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7"/>
        <v/>
      </c>
      <c r="I561" s="394" t="str">
        <f t="shared" si="38"/>
        <v/>
      </c>
      <c r="J561" s="394" t="str">
        <f t="shared" si="39"/>
        <v/>
      </c>
      <c r="K561" s="394" t="str">
        <f t="shared" si="40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7"/>
        <v/>
      </c>
      <c r="I562" s="394" t="str">
        <f t="shared" si="38"/>
        <v/>
      </c>
      <c r="J562" s="394" t="str">
        <f t="shared" si="39"/>
        <v/>
      </c>
      <c r="K562" s="394" t="str">
        <f t="shared" si="40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7"/>
        <v/>
      </c>
      <c r="I563" s="394" t="str">
        <f t="shared" si="38"/>
        <v/>
      </c>
      <c r="J563" s="394" t="str">
        <f t="shared" si="39"/>
        <v/>
      </c>
      <c r="K563" s="394" t="str">
        <f t="shared" si="40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7"/>
        <v/>
      </c>
      <c r="I564" s="394" t="str">
        <f t="shared" si="38"/>
        <v/>
      </c>
      <c r="J564" s="394" t="str">
        <f t="shared" si="39"/>
        <v/>
      </c>
      <c r="K564" s="394" t="str">
        <f t="shared" si="40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7"/>
        <v/>
      </c>
      <c r="I565" s="394" t="str">
        <f t="shared" si="38"/>
        <v/>
      </c>
      <c r="J565" s="394" t="str">
        <f t="shared" si="39"/>
        <v/>
      </c>
      <c r="K565" s="394" t="str">
        <f t="shared" si="40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7"/>
        <v/>
      </c>
      <c r="I566" s="394" t="str">
        <f t="shared" si="38"/>
        <v/>
      </c>
      <c r="J566" s="394" t="str">
        <f t="shared" si="39"/>
        <v/>
      </c>
      <c r="K566" s="394" t="str">
        <f t="shared" si="40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7"/>
        <v/>
      </c>
      <c r="I567" s="394" t="str">
        <f t="shared" si="38"/>
        <v/>
      </c>
      <c r="J567" s="394" t="str">
        <f t="shared" si="39"/>
        <v/>
      </c>
      <c r="K567" s="394" t="str">
        <f t="shared" si="40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7"/>
        <v/>
      </c>
      <c r="I568" s="394" t="str">
        <f t="shared" si="38"/>
        <v/>
      </c>
      <c r="J568" s="394" t="str">
        <f t="shared" si="39"/>
        <v/>
      </c>
      <c r="K568" s="394" t="str">
        <f t="shared" si="40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7"/>
        <v/>
      </c>
      <c r="I569" s="394" t="str">
        <f t="shared" si="38"/>
        <v/>
      </c>
      <c r="J569" s="394" t="str">
        <f t="shared" si="39"/>
        <v/>
      </c>
      <c r="K569" s="394" t="str">
        <f t="shared" si="40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7"/>
        <v/>
      </c>
      <c r="I570" s="394" t="str">
        <f t="shared" si="38"/>
        <v/>
      </c>
      <c r="J570" s="394" t="str">
        <f t="shared" si="39"/>
        <v/>
      </c>
      <c r="K570" s="394" t="str">
        <f t="shared" si="40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7"/>
        <v/>
      </c>
      <c r="I571" s="394" t="str">
        <f t="shared" si="38"/>
        <v/>
      </c>
      <c r="J571" s="394" t="str">
        <f t="shared" si="39"/>
        <v/>
      </c>
      <c r="K571" s="394" t="str">
        <f t="shared" si="40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7"/>
        <v/>
      </c>
      <c r="I572" s="394" t="str">
        <f t="shared" si="38"/>
        <v/>
      </c>
      <c r="J572" s="394" t="str">
        <f t="shared" si="39"/>
        <v/>
      </c>
      <c r="K572" s="394" t="str">
        <f t="shared" si="40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7"/>
        <v/>
      </c>
      <c r="I573" s="394" t="str">
        <f t="shared" si="38"/>
        <v/>
      </c>
      <c r="J573" s="394" t="str">
        <f t="shared" si="39"/>
        <v/>
      </c>
      <c r="K573" s="394" t="str">
        <f t="shared" si="40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7"/>
        <v/>
      </c>
      <c r="I574" s="394" t="str">
        <f t="shared" si="38"/>
        <v/>
      </c>
      <c r="J574" s="394" t="str">
        <f t="shared" si="39"/>
        <v/>
      </c>
      <c r="K574" s="394" t="str">
        <f t="shared" si="40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7"/>
        <v/>
      </c>
      <c r="I575" s="394" t="str">
        <f t="shared" si="38"/>
        <v/>
      </c>
      <c r="J575" s="394" t="str">
        <f t="shared" si="39"/>
        <v/>
      </c>
      <c r="K575" s="394" t="str">
        <f t="shared" si="40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7"/>
        <v/>
      </c>
      <c r="I576" s="394" t="str">
        <f t="shared" si="38"/>
        <v/>
      </c>
      <c r="J576" s="394" t="str">
        <f t="shared" si="39"/>
        <v/>
      </c>
      <c r="K576" s="394" t="str">
        <f t="shared" si="40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7"/>
        <v/>
      </c>
      <c r="I577" s="394" t="str">
        <f t="shared" si="38"/>
        <v/>
      </c>
      <c r="J577" s="394" t="str">
        <f t="shared" si="39"/>
        <v/>
      </c>
      <c r="K577" s="394" t="str">
        <f t="shared" si="40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7"/>
        <v/>
      </c>
      <c r="I578" s="394" t="str">
        <f t="shared" si="38"/>
        <v/>
      </c>
      <c r="J578" s="394" t="str">
        <f t="shared" si="39"/>
        <v/>
      </c>
      <c r="K578" s="394" t="str">
        <f t="shared" si="40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7"/>
        <v/>
      </c>
      <c r="I579" s="394" t="str">
        <f t="shared" si="38"/>
        <v/>
      </c>
      <c r="J579" s="394" t="str">
        <f t="shared" si="39"/>
        <v/>
      </c>
      <c r="K579" s="394" t="str">
        <f t="shared" si="40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7"/>
        <v/>
      </c>
      <c r="I580" s="394" t="str">
        <f t="shared" si="38"/>
        <v/>
      </c>
      <c r="J580" s="394" t="str">
        <f t="shared" si="39"/>
        <v/>
      </c>
      <c r="K580" s="394" t="str">
        <f t="shared" si="40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7"/>
        <v/>
      </c>
      <c r="I581" s="394" t="str">
        <f t="shared" si="38"/>
        <v/>
      </c>
      <c r="J581" s="394" t="str">
        <f t="shared" si="39"/>
        <v/>
      </c>
      <c r="K581" s="394" t="str">
        <f t="shared" si="40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7"/>
        <v/>
      </c>
      <c r="I582" s="394" t="str">
        <f t="shared" si="38"/>
        <v/>
      </c>
      <c r="J582" s="394" t="str">
        <f t="shared" si="39"/>
        <v/>
      </c>
      <c r="K582" s="394" t="str">
        <f t="shared" si="40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7"/>
        <v/>
      </c>
      <c r="I583" s="394" t="str">
        <f t="shared" si="38"/>
        <v/>
      </c>
      <c r="J583" s="394" t="str">
        <f t="shared" si="39"/>
        <v/>
      </c>
      <c r="K583" s="394" t="str">
        <f t="shared" si="40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7"/>
        <v/>
      </c>
      <c r="I584" s="394" t="str">
        <f t="shared" si="38"/>
        <v/>
      </c>
      <c r="J584" s="394" t="str">
        <f t="shared" si="39"/>
        <v/>
      </c>
      <c r="K584" s="394" t="str">
        <f t="shared" si="40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7"/>
        <v/>
      </c>
      <c r="I585" s="394" t="str">
        <f t="shared" si="38"/>
        <v/>
      </c>
      <c r="J585" s="394" t="str">
        <f t="shared" si="39"/>
        <v/>
      </c>
      <c r="K585" s="394" t="str">
        <f t="shared" si="40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7"/>
        <v/>
      </c>
      <c r="I586" s="394" t="str">
        <f t="shared" si="38"/>
        <v/>
      </c>
      <c r="J586" s="394" t="str">
        <f t="shared" si="39"/>
        <v/>
      </c>
      <c r="K586" s="394" t="str">
        <f t="shared" si="40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7"/>
        <v/>
      </c>
      <c r="I587" s="394" t="str">
        <f t="shared" si="38"/>
        <v/>
      </c>
      <c r="J587" s="394" t="str">
        <f t="shared" si="39"/>
        <v/>
      </c>
      <c r="K587" s="394" t="str">
        <f t="shared" si="40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7"/>
        <v/>
      </c>
      <c r="I588" s="394" t="str">
        <f t="shared" si="38"/>
        <v/>
      </c>
      <c r="J588" s="394" t="str">
        <f t="shared" si="39"/>
        <v/>
      </c>
      <c r="K588" s="394" t="str">
        <f t="shared" si="40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7"/>
        <v/>
      </c>
      <c r="I589" s="394" t="str">
        <f t="shared" si="38"/>
        <v/>
      </c>
      <c r="J589" s="394" t="str">
        <f t="shared" si="39"/>
        <v/>
      </c>
      <c r="K589" s="394" t="str">
        <f t="shared" si="40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7"/>
        <v/>
      </c>
      <c r="I590" s="394" t="str">
        <f t="shared" si="38"/>
        <v/>
      </c>
      <c r="J590" s="394" t="str">
        <f t="shared" si="39"/>
        <v/>
      </c>
      <c r="K590" s="394" t="str">
        <f t="shared" si="40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7"/>
        <v/>
      </c>
      <c r="I591" s="394" t="str">
        <f t="shared" si="38"/>
        <v/>
      </c>
      <c r="J591" s="394" t="str">
        <f t="shared" si="39"/>
        <v/>
      </c>
      <c r="K591" s="394" t="str">
        <f t="shared" si="40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7"/>
        <v/>
      </c>
      <c r="I592" s="394" t="str">
        <f t="shared" si="38"/>
        <v/>
      </c>
      <c r="J592" s="394" t="str">
        <f t="shared" si="39"/>
        <v/>
      </c>
      <c r="K592" s="394" t="str">
        <f t="shared" si="40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7"/>
        <v/>
      </c>
      <c r="I593" s="394" t="str">
        <f t="shared" si="38"/>
        <v/>
      </c>
      <c r="J593" s="394" t="str">
        <f t="shared" si="39"/>
        <v/>
      </c>
      <c r="K593" s="394" t="str">
        <f t="shared" si="40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7"/>
        <v/>
      </c>
      <c r="I594" s="394" t="str">
        <f t="shared" si="38"/>
        <v/>
      </c>
      <c r="J594" s="394" t="str">
        <f t="shared" si="39"/>
        <v/>
      </c>
      <c r="K594" s="394" t="str">
        <f t="shared" si="40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7"/>
        <v/>
      </c>
      <c r="I595" s="394" t="str">
        <f t="shared" si="38"/>
        <v/>
      </c>
      <c r="J595" s="394" t="str">
        <f t="shared" si="39"/>
        <v/>
      </c>
      <c r="K595" s="394" t="str">
        <f t="shared" si="40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7"/>
        <v/>
      </c>
      <c r="I596" s="394" t="str">
        <f t="shared" si="38"/>
        <v/>
      </c>
      <c r="J596" s="394" t="str">
        <f t="shared" si="39"/>
        <v/>
      </c>
      <c r="K596" s="394" t="str">
        <f t="shared" si="40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7"/>
        <v/>
      </c>
      <c r="I597" s="394" t="str">
        <f t="shared" si="38"/>
        <v/>
      </c>
      <c r="J597" s="394" t="str">
        <f t="shared" si="39"/>
        <v/>
      </c>
      <c r="K597" s="394" t="str">
        <f t="shared" si="40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7"/>
        <v/>
      </c>
      <c r="I598" s="394" t="str">
        <f t="shared" si="38"/>
        <v/>
      </c>
      <c r="J598" s="394" t="str">
        <f t="shared" si="39"/>
        <v/>
      </c>
      <c r="K598" s="394" t="str">
        <f t="shared" si="40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1">IF($C599="","",ROUND((($B$2*$F599*($B$5/1000))/$B$6)*(1+IF($B$18="",0,$B$18)),2))</f>
        <v/>
      </c>
      <c r="I599" s="394" t="str">
        <f t="shared" ref="I599:I662" si="42">IF($C599="","",ROUND((($B$3*$F599*($B$5/1000))/$B$6)*(1+IF($B$18="",0,$B$18)),2))</f>
        <v/>
      </c>
      <c r="J599" s="394" t="str">
        <f t="shared" ref="J599:J662" si="43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4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1"/>
        <v/>
      </c>
      <c r="I600" s="394" t="str">
        <f t="shared" si="42"/>
        <v/>
      </c>
      <c r="J600" s="394" t="str">
        <f t="shared" si="43"/>
        <v/>
      </c>
      <c r="K600" s="394" t="str">
        <f t="shared" si="44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1"/>
        <v/>
      </c>
      <c r="I601" s="394" t="str">
        <f t="shared" si="42"/>
        <v/>
      </c>
      <c r="J601" s="394" t="str">
        <f t="shared" si="43"/>
        <v/>
      </c>
      <c r="K601" s="394" t="str">
        <f t="shared" si="44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1"/>
        <v/>
      </c>
      <c r="I602" s="394" t="str">
        <f t="shared" si="42"/>
        <v/>
      </c>
      <c r="J602" s="394" t="str">
        <f t="shared" si="43"/>
        <v/>
      </c>
      <c r="K602" s="394" t="str">
        <f t="shared" si="44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1"/>
        <v/>
      </c>
      <c r="I603" s="394" t="str">
        <f t="shared" si="42"/>
        <v/>
      </c>
      <c r="J603" s="394" t="str">
        <f t="shared" si="43"/>
        <v/>
      </c>
      <c r="K603" s="394" t="str">
        <f t="shared" si="44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1"/>
        <v/>
      </c>
      <c r="I604" s="394" t="str">
        <f t="shared" si="42"/>
        <v/>
      </c>
      <c r="J604" s="394" t="str">
        <f t="shared" si="43"/>
        <v/>
      </c>
      <c r="K604" s="394" t="str">
        <f t="shared" si="44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1"/>
        <v/>
      </c>
      <c r="I605" s="394" t="str">
        <f t="shared" si="42"/>
        <v/>
      </c>
      <c r="J605" s="394" t="str">
        <f t="shared" si="43"/>
        <v/>
      </c>
      <c r="K605" s="394" t="str">
        <f t="shared" si="44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1"/>
        <v/>
      </c>
      <c r="I606" s="394" t="str">
        <f t="shared" si="42"/>
        <v/>
      </c>
      <c r="J606" s="394" t="str">
        <f t="shared" si="43"/>
        <v/>
      </c>
      <c r="K606" s="394" t="str">
        <f t="shared" si="44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1"/>
        <v/>
      </c>
      <c r="I607" s="394" t="str">
        <f t="shared" si="42"/>
        <v/>
      </c>
      <c r="J607" s="394" t="str">
        <f t="shared" si="43"/>
        <v/>
      </c>
      <c r="K607" s="394" t="str">
        <f t="shared" si="44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1"/>
        <v/>
      </c>
      <c r="I608" s="394" t="str">
        <f t="shared" si="42"/>
        <v/>
      </c>
      <c r="J608" s="394" t="str">
        <f t="shared" si="43"/>
        <v/>
      </c>
      <c r="K608" s="394" t="str">
        <f t="shared" si="44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1"/>
        <v/>
      </c>
      <c r="I609" s="394" t="str">
        <f t="shared" si="42"/>
        <v/>
      </c>
      <c r="J609" s="394" t="str">
        <f t="shared" si="43"/>
        <v/>
      </c>
      <c r="K609" s="394" t="str">
        <f t="shared" si="44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1"/>
        <v/>
      </c>
      <c r="I610" s="394" t="str">
        <f t="shared" si="42"/>
        <v/>
      </c>
      <c r="J610" s="394" t="str">
        <f t="shared" si="43"/>
        <v/>
      </c>
      <c r="K610" s="394" t="str">
        <f t="shared" si="44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1"/>
        <v/>
      </c>
      <c r="I611" s="394" t="str">
        <f t="shared" si="42"/>
        <v/>
      </c>
      <c r="J611" s="394" t="str">
        <f t="shared" si="43"/>
        <v/>
      </c>
      <c r="K611" s="394" t="str">
        <f t="shared" si="44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1"/>
        <v/>
      </c>
      <c r="I612" s="394" t="str">
        <f t="shared" si="42"/>
        <v/>
      </c>
      <c r="J612" s="394" t="str">
        <f t="shared" si="43"/>
        <v/>
      </c>
      <c r="K612" s="394" t="str">
        <f t="shared" si="44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1"/>
        <v/>
      </c>
      <c r="I613" s="394" t="str">
        <f t="shared" si="42"/>
        <v/>
      </c>
      <c r="J613" s="394" t="str">
        <f t="shared" si="43"/>
        <v/>
      </c>
      <c r="K613" s="394" t="str">
        <f t="shared" si="44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1"/>
        <v/>
      </c>
      <c r="I614" s="394" t="str">
        <f t="shared" si="42"/>
        <v/>
      </c>
      <c r="J614" s="394" t="str">
        <f t="shared" si="43"/>
        <v/>
      </c>
      <c r="K614" s="394" t="str">
        <f t="shared" si="44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1"/>
        <v/>
      </c>
      <c r="I615" s="394" t="str">
        <f t="shared" si="42"/>
        <v/>
      </c>
      <c r="J615" s="394" t="str">
        <f t="shared" si="43"/>
        <v/>
      </c>
      <c r="K615" s="394" t="str">
        <f t="shared" si="44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1"/>
        <v/>
      </c>
      <c r="I616" s="394" t="str">
        <f t="shared" si="42"/>
        <v/>
      </c>
      <c r="J616" s="394" t="str">
        <f t="shared" si="43"/>
        <v/>
      </c>
      <c r="K616" s="394" t="str">
        <f t="shared" si="44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1"/>
        <v/>
      </c>
      <c r="I617" s="394" t="str">
        <f t="shared" si="42"/>
        <v/>
      </c>
      <c r="J617" s="394" t="str">
        <f t="shared" si="43"/>
        <v/>
      </c>
      <c r="K617" s="394" t="str">
        <f t="shared" si="44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1"/>
        <v/>
      </c>
      <c r="I618" s="394" t="str">
        <f t="shared" si="42"/>
        <v/>
      </c>
      <c r="J618" s="394" t="str">
        <f t="shared" si="43"/>
        <v/>
      </c>
      <c r="K618" s="394" t="str">
        <f t="shared" si="44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1"/>
        <v/>
      </c>
      <c r="I619" s="394" t="str">
        <f t="shared" si="42"/>
        <v/>
      </c>
      <c r="J619" s="394" t="str">
        <f t="shared" si="43"/>
        <v/>
      </c>
      <c r="K619" s="394" t="str">
        <f t="shared" si="44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1"/>
        <v/>
      </c>
      <c r="I620" s="394" t="str">
        <f t="shared" si="42"/>
        <v/>
      </c>
      <c r="J620" s="394" t="str">
        <f t="shared" si="43"/>
        <v/>
      </c>
      <c r="K620" s="394" t="str">
        <f t="shared" si="44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1"/>
        <v/>
      </c>
      <c r="I621" s="394" t="str">
        <f t="shared" si="42"/>
        <v/>
      </c>
      <c r="J621" s="394" t="str">
        <f t="shared" si="43"/>
        <v/>
      </c>
      <c r="K621" s="394" t="str">
        <f t="shared" si="44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1"/>
        <v/>
      </c>
      <c r="I622" s="394" t="str">
        <f t="shared" si="42"/>
        <v/>
      </c>
      <c r="J622" s="394" t="str">
        <f t="shared" si="43"/>
        <v/>
      </c>
      <c r="K622" s="394" t="str">
        <f t="shared" si="44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1"/>
        <v/>
      </c>
      <c r="I623" s="394" t="str">
        <f t="shared" si="42"/>
        <v/>
      </c>
      <c r="J623" s="394" t="str">
        <f t="shared" si="43"/>
        <v/>
      </c>
      <c r="K623" s="394" t="str">
        <f t="shared" si="44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1"/>
        <v/>
      </c>
      <c r="I624" s="394" t="str">
        <f t="shared" si="42"/>
        <v/>
      </c>
      <c r="J624" s="394" t="str">
        <f t="shared" si="43"/>
        <v/>
      </c>
      <c r="K624" s="394" t="str">
        <f t="shared" si="44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1"/>
        <v/>
      </c>
      <c r="I625" s="394" t="str">
        <f t="shared" si="42"/>
        <v/>
      </c>
      <c r="J625" s="394" t="str">
        <f t="shared" si="43"/>
        <v/>
      </c>
      <c r="K625" s="394" t="str">
        <f t="shared" si="44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1"/>
        <v/>
      </c>
      <c r="I626" s="394" t="str">
        <f t="shared" si="42"/>
        <v/>
      </c>
      <c r="J626" s="394" t="str">
        <f t="shared" si="43"/>
        <v/>
      </c>
      <c r="K626" s="394" t="str">
        <f t="shared" si="44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1"/>
        <v/>
      </c>
      <c r="I627" s="394" t="str">
        <f t="shared" si="42"/>
        <v/>
      </c>
      <c r="J627" s="394" t="str">
        <f t="shared" si="43"/>
        <v/>
      </c>
      <c r="K627" s="394" t="str">
        <f t="shared" si="44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1"/>
        <v/>
      </c>
      <c r="I628" s="394" t="str">
        <f t="shared" si="42"/>
        <v/>
      </c>
      <c r="J628" s="394" t="str">
        <f t="shared" si="43"/>
        <v/>
      </c>
      <c r="K628" s="394" t="str">
        <f t="shared" si="44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1"/>
        <v/>
      </c>
      <c r="I629" s="394" t="str">
        <f t="shared" si="42"/>
        <v/>
      </c>
      <c r="J629" s="394" t="str">
        <f t="shared" si="43"/>
        <v/>
      </c>
      <c r="K629" s="394" t="str">
        <f t="shared" si="44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1"/>
        <v/>
      </c>
      <c r="I630" s="394" t="str">
        <f t="shared" si="42"/>
        <v/>
      </c>
      <c r="J630" s="394" t="str">
        <f t="shared" si="43"/>
        <v/>
      </c>
      <c r="K630" s="394" t="str">
        <f t="shared" si="44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1"/>
        <v/>
      </c>
      <c r="I631" s="394" t="str">
        <f t="shared" si="42"/>
        <v/>
      </c>
      <c r="J631" s="394" t="str">
        <f t="shared" si="43"/>
        <v/>
      </c>
      <c r="K631" s="394" t="str">
        <f t="shared" si="44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1"/>
        <v/>
      </c>
      <c r="I632" s="394" t="str">
        <f t="shared" si="42"/>
        <v/>
      </c>
      <c r="J632" s="394" t="str">
        <f t="shared" si="43"/>
        <v/>
      </c>
      <c r="K632" s="394" t="str">
        <f t="shared" si="44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1"/>
        <v/>
      </c>
      <c r="I633" s="394" t="str">
        <f t="shared" si="42"/>
        <v/>
      </c>
      <c r="J633" s="394" t="str">
        <f t="shared" si="43"/>
        <v/>
      </c>
      <c r="K633" s="394" t="str">
        <f t="shared" si="44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1"/>
        <v/>
      </c>
      <c r="I634" s="394" t="str">
        <f t="shared" si="42"/>
        <v/>
      </c>
      <c r="J634" s="394" t="str">
        <f t="shared" si="43"/>
        <v/>
      </c>
      <c r="K634" s="394" t="str">
        <f t="shared" si="44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1"/>
        <v/>
      </c>
      <c r="I635" s="394" t="str">
        <f t="shared" si="42"/>
        <v/>
      </c>
      <c r="J635" s="394" t="str">
        <f t="shared" si="43"/>
        <v/>
      </c>
      <c r="K635" s="394" t="str">
        <f t="shared" si="44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1"/>
        <v/>
      </c>
      <c r="I636" s="394" t="str">
        <f t="shared" si="42"/>
        <v/>
      </c>
      <c r="J636" s="394" t="str">
        <f t="shared" si="43"/>
        <v/>
      </c>
      <c r="K636" s="394" t="str">
        <f t="shared" si="44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1"/>
        <v/>
      </c>
      <c r="I637" s="394" t="str">
        <f t="shared" si="42"/>
        <v/>
      </c>
      <c r="J637" s="394" t="str">
        <f t="shared" si="43"/>
        <v/>
      </c>
      <c r="K637" s="394" t="str">
        <f t="shared" si="44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1"/>
        <v/>
      </c>
      <c r="I638" s="394" t="str">
        <f t="shared" si="42"/>
        <v/>
      </c>
      <c r="J638" s="394" t="str">
        <f t="shared" si="43"/>
        <v/>
      </c>
      <c r="K638" s="394" t="str">
        <f t="shared" si="44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1"/>
        <v/>
      </c>
      <c r="I639" s="394" t="str">
        <f t="shared" si="42"/>
        <v/>
      </c>
      <c r="J639" s="394" t="str">
        <f t="shared" si="43"/>
        <v/>
      </c>
      <c r="K639" s="394" t="str">
        <f t="shared" si="44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1"/>
        <v/>
      </c>
      <c r="I640" s="394" t="str">
        <f t="shared" si="42"/>
        <v/>
      </c>
      <c r="J640" s="394" t="str">
        <f t="shared" si="43"/>
        <v/>
      </c>
      <c r="K640" s="394" t="str">
        <f t="shared" si="44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1"/>
        <v/>
      </c>
      <c r="I641" s="394" t="str">
        <f t="shared" si="42"/>
        <v/>
      </c>
      <c r="J641" s="394" t="str">
        <f t="shared" si="43"/>
        <v/>
      </c>
      <c r="K641" s="394" t="str">
        <f t="shared" si="44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1"/>
        <v/>
      </c>
      <c r="I642" s="394" t="str">
        <f t="shared" si="42"/>
        <v/>
      </c>
      <c r="J642" s="394" t="str">
        <f t="shared" si="43"/>
        <v/>
      </c>
      <c r="K642" s="394" t="str">
        <f t="shared" si="44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1"/>
        <v/>
      </c>
      <c r="I643" s="394" t="str">
        <f t="shared" si="42"/>
        <v/>
      </c>
      <c r="J643" s="394" t="str">
        <f t="shared" si="43"/>
        <v/>
      </c>
      <c r="K643" s="394" t="str">
        <f t="shared" si="44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1"/>
        <v/>
      </c>
      <c r="I644" s="394" t="str">
        <f t="shared" si="42"/>
        <v/>
      </c>
      <c r="J644" s="394" t="str">
        <f t="shared" si="43"/>
        <v/>
      </c>
      <c r="K644" s="394" t="str">
        <f t="shared" si="44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1"/>
        <v/>
      </c>
      <c r="I645" s="394" t="str">
        <f t="shared" si="42"/>
        <v/>
      </c>
      <c r="J645" s="394" t="str">
        <f t="shared" si="43"/>
        <v/>
      </c>
      <c r="K645" s="394" t="str">
        <f t="shared" si="44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1"/>
        <v/>
      </c>
      <c r="I646" s="394" t="str">
        <f t="shared" si="42"/>
        <v/>
      </c>
      <c r="J646" s="394" t="str">
        <f t="shared" si="43"/>
        <v/>
      </c>
      <c r="K646" s="394" t="str">
        <f t="shared" si="44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1"/>
        <v/>
      </c>
      <c r="I647" s="394" t="str">
        <f t="shared" si="42"/>
        <v/>
      </c>
      <c r="J647" s="394" t="str">
        <f t="shared" si="43"/>
        <v/>
      </c>
      <c r="K647" s="394" t="str">
        <f t="shared" si="44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1"/>
        <v/>
      </c>
      <c r="I648" s="394" t="str">
        <f t="shared" si="42"/>
        <v/>
      </c>
      <c r="J648" s="394" t="str">
        <f t="shared" si="43"/>
        <v/>
      </c>
      <c r="K648" s="394" t="str">
        <f t="shared" si="44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1"/>
        <v/>
      </c>
      <c r="I649" s="394" t="str">
        <f t="shared" si="42"/>
        <v/>
      </c>
      <c r="J649" s="394" t="str">
        <f t="shared" si="43"/>
        <v/>
      </c>
      <c r="K649" s="394" t="str">
        <f t="shared" si="44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1"/>
        <v/>
      </c>
      <c r="I650" s="394" t="str">
        <f t="shared" si="42"/>
        <v/>
      </c>
      <c r="J650" s="394" t="str">
        <f t="shared" si="43"/>
        <v/>
      </c>
      <c r="K650" s="394" t="str">
        <f t="shared" si="44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1"/>
        <v/>
      </c>
      <c r="I651" s="394" t="str">
        <f t="shared" si="42"/>
        <v/>
      </c>
      <c r="J651" s="394" t="str">
        <f t="shared" si="43"/>
        <v/>
      </c>
      <c r="K651" s="394" t="str">
        <f t="shared" si="44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1"/>
        <v/>
      </c>
      <c r="I652" s="394" t="str">
        <f t="shared" si="42"/>
        <v/>
      </c>
      <c r="J652" s="394" t="str">
        <f t="shared" si="43"/>
        <v/>
      </c>
      <c r="K652" s="394" t="str">
        <f t="shared" si="44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1"/>
        <v/>
      </c>
      <c r="I653" s="394" t="str">
        <f t="shared" si="42"/>
        <v/>
      </c>
      <c r="J653" s="394" t="str">
        <f t="shared" si="43"/>
        <v/>
      </c>
      <c r="K653" s="394" t="str">
        <f t="shared" si="44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1"/>
        <v/>
      </c>
      <c r="I654" s="394" t="str">
        <f t="shared" si="42"/>
        <v/>
      </c>
      <c r="J654" s="394" t="str">
        <f t="shared" si="43"/>
        <v/>
      </c>
      <c r="K654" s="394" t="str">
        <f t="shared" si="44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1"/>
        <v/>
      </c>
      <c r="I655" s="394" t="str">
        <f t="shared" si="42"/>
        <v/>
      </c>
      <c r="J655" s="394" t="str">
        <f t="shared" si="43"/>
        <v/>
      </c>
      <c r="K655" s="394" t="str">
        <f t="shared" si="44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1"/>
        <v/>
      </c>
      <c r="I656" s="394" t="str">
        <f t="shared" si="42"/>
        <v/>
      </c>
      <c r="J656" s="394" t="str">
        <f t="shared" si="43"/>
        <v/>
      </c>
      <c r="K656" s="394" t="str">
        <f t="shared" si="44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1"/>
        <v/>
      </c>
      <c r="I657" s="394" t="str">
        <f t="shared" si="42"/>
        <v/>
      </c>
      <c r="J657" s="394" t="str">
        <f t="shared" si="43"/>
        <v/>
      </c>
      <c r="K657" s="394" t="str">
        <f t="shared" si="44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1"/>
        <v/>
      </c>
      <c r="I658" s="394" t="str">
        <f t="shared" si="42"/>
        <v/>
      </c>
      <c r="J658" s="394" t="str">
        <f t="shared" si="43"/>
        <v/>
      </c>
      <c r="K658" s="394" t="str">
        <f t="shared" si="44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1"/>
        <v/>
      </c>
      <c r="I659" s="394" t="str">
        <f t="shared" si="42"/>
        <v/>
      </c>
      <c r="J659" s="394" t="str">
        <f t="shared" si="43"/>
        <v/>
      </c>
      <c r="K659" s="394" t="str">
        <f t="shared" si="44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1"/>
        <v/>
      </c>
      <c r="I660" s="394" t="str">
        <f t="shared" si="42"/>
        <v/>
      </c>
      <c r="J660" s="394" t="str">
        <f t="shared" si="43"/>
        <v/>
      </c>
      <c r="K660" s="394" t="str">
        <f t="shared" si="44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1"/>
        <v/>
      </c>
      <c r="I661" s="394" t="str">
        <f t="shared" si="42"/>
        <v/>
      </c>
      <c r="J661" s="394" t="str">
        <f t="shared" si="43"/>
        <v/>
      </c>
      <c r="K661" s="394" t="str">
        <f t="shared" si="44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1"/>
        <v/>
      </c>
      <c r="I662" s="394" t="str">
        <f t="shared" si="42"/>
        <v/>
      </c>
      <c r="J662" s="394" t="str">
        <f t="shared" si="43"/>
        <v/>
      </c>
      <c r="K662" s="394" t="str">
        <f t="shared" si="44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5">IF($C663="","",ROUND((($B$2*$F663*($B$5/1000))/$B$6)*(1+IF($B$18="",0,$B$18)),2))</f>
        <v/>
      </c>
      <c r="I663" s="394" t="str">
        <f t="shared" ref="I663:I726" si="46">IF($C663="","",ROUND((($B$3*$F663*($B$5/1000))/$B$6)*(1+IF($B$18="",0,$B$18)),2))</f>
        <v/>
      </c>
      <c r="J663" s="394" t="str">
        <f t="shared" ref="J663:J726" si="4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5"/>
        <v/>
      </c>
      <c r="I664" s="394" t="str">
        <f t="shared" si="46"/>
        <v/>
      </c>
      <c r="J664" s="394" t="str">
        <f t="shared" si="47"/>
        <v/>
      </c>
      <c r="K664" s="394" t="str">
        <f t="shared" si="48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5"/>
        <v/>
      </c>
      <c r="I665" s="394" t="str">
        <f t="shared" si="46"/>
        <v/>
      </c>
      <c r="J665" s="394" t="str">
        <f t="shared" si="47"/>
        <v/>
      </c>
      <c r="K665" s="394" t="str">
        <f t="shared" si="48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5"/>
        <v/>
      </c>
      <c r="I666" s="394" t="str">
        <f t="shared" si="46"/>
        <v/>
      </c>
      <c r="J666" s="394" t="str">
        <f t="shared" si="47"/>
        <v/>
      </c>
      <c r="K666" s="394" t="str">
        <f t="shared" si="48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5"/>
        <v/>
      </c>
      <c r="I667" s="394" t="str">
        <f t="shared" si="46"/>
        <v/>
      </c>
      <c r="J667" s="394" t="str">
        <f t="shared" si="47"/>
        <v/>
      </c>
      <c r="K667" s="394" t="str">
        <f t="shared" si="48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5"/>
        <v/>
      </c>
      <c r="I668" s="394" t="str">
        <f t="shared" si="46"/>
        <v/>
      </c>
      <c r="J668" s="394" t="str">
        <f t="shared" si="47"/>
        <v/>
      </c>
      <c r="K668" s="394" t="str">
        <f t="shared" si="48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5"/>
        <v/>
      </c>
      <c r="I669" s="394" t="str">
        <f t="shared" si="46"/>
        <v/>
      </c>
      <c r="J669" s="394" t="str">
        <f t="shared" si="47"/>
        <v/>
      </c>
      <c r="K669" s="394" t="str">
        <f t="shared" si="48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5"/>
        <v/>
      </c>
      <c r="I670" s="394" t="str">
        <f t="shared" si="46"/>
        <v/>
      </c>
      <c r="J670" s="394" t="str">
        <f t="shared" si="47"/>
        <v/>
      </c>
      <c r="K670" s="394" t="str">
        <f t="shared" si="48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5"/>
        <v/>
      </c>
      <c r="I671" s="394" t="str">
        <f t="shared" si="46"/>
        <v/>
      </c>
      <c r="J671" s="394" t="str">
        <f t="shared" si="47"/>
        <v/>
      </c>
      <c r="K671" s="394" t="str">
        <f t="shared" si="48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5"/>
        <v/>
      </c>
      <c r="I672" s="394" t="str">
        <f t="shared" si="46"/>
        <v/>
      </c>
      <c r="J672" s="394" t="str">
        <f t="shared" si="47"/>
        <v/>
      </c>
      <c r="K672" s="394" t="str">
        <f t="shared" si="48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5"/>
        <v/>
      </c>
      <c r="I673" s="394" t="str">
        <f t="shared" si="46"/>
        <v/>
      </c>
      <c r="J673" s="394" t="str">
        <f t="shared" si="47"/>
        <v/>
      </c>
      <c r="K673" s="394" t="str">
        <f t="shared" si="48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5"/>
        <v/>
      </c>
      <c r="I674" s="394" t="str">
        <f t="shared" si="46"/>
        <v/>
      </c>
      <c r="J674" s="394" t="str">
        <f t="shared" si="47"/>
        <v/>
      </c>
      <c r="K674" s="394" t="str">
        <f t="shared" si="48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5"/>
        <v/>
      </c>
      <c r="I675" s="394" t="str">
        <f t="shared" si="46"/>
        <v/>
      </c>
      <c r="J675" s="394" t="str">
        <f t="shared" si="47"/>
        <v/>
      </c>
      <c r="K675" s="394" t="str">
        <f t="shared" si="48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5"/>
        <v/>
      </c>
      <c r="I676" s="394" t="str">
        <f t="shared" si="46"/>
        <v/>
      </c>
      <c r="J676" s="394" t="str">
        <f t="shared" si="47"/>
        <v/>
      </c>
      <c r="K676" s="394" t="str">
        <f t="shared" si="48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5"/>
        <v/>
      </c>
      <c r="I677" s="394" t="str">
        <f t="shared" si="46"/>
        <v/>
      </c>
      <c r="J677" s="394" t="str">
        <f t="shared" si="47"/>
        <v/>
      </c>
      <c r="K677" s="394" t="str">
        <f t="shared" si="48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5"/>
        <v/>
      </c>
      <c r="I678" s="394" t="str">
        <f t="shared" si="46"/>
        <v/>
      </c>
      <c r="J678" s="394" t="str">
        <f t="shared" si="47"/>
        <v/>
      </c>
      <c r="K678" s="394" t="str">
        <f t="shared" si="48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5"/>
        <v/>
      </c>
      <c r="I679" s="394" t="str">
        <f t="shared" si="46"/>
        <v/>
      </c>
      <c r="J679" s="394" t="str">
        <f t="shared" si="47"/>
        <v/>
      </c>
      <c r="K679" s="394" t="str">
        <f t="shared" si="48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5"/>
        <v/>
      </c>
      <c r="I680" s="394" t="str">
        <f t="shared" si="46"/>
        <v/>
      </c>
      <c r="J680" s="394" t="str">
        <f t="shared" si="47"/>
        <v/>
      </c>
      <c r="K680" s="394" t="str">
        <f t="shared" si="48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5"/>
        <v/>
      </c>
      <c r="I681" s="394" t="str">
        <f t="shared" si="46"/>
        <v/>
      </c>
      <c r="J681" s="394" t="str">
        <f t="shared" si="47"/>
        <v/>
      </c>
      <c r="K681" s="394" t="str">
        <f t="shared" si="48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5"/>
        <v/>
      </c>
      <c r="I682" s="394" t="str">
        <f t="shared" si="46"/>
        <v/>
      </c>
      <c r="J682" s="394" t="str">
        <f t="shared" si="47"/>
        <v/>
      </c>
      <c r="K682" s="394" t="str">
        <f t="shared" si="48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5"/>
        <v/>
      </c>
      <c r="I683" s="394" t="str">
        <f t="shared" si="46"/>
        <v/>
      </c>
      <c r="J683" s="394" t="str">
        <f t="shared" si="47"/>
        <v/>
      </c>
      <c r="K683" s="394" t="str">
        <f t="shared" si="48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5"/>
        <v/>
      </c>
      <c r="I684" s="394" t="str">
        <f t="shared" si="46"/>
        <v/>
      </c>
      <c r="J684" s="394" t="str">
        <f t="shared" si="47"/>
        <v/>
      </c>
      <c r="K684" s="394" t="str">
        <f t="shared" si="48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5"/>
        <v/>
      </c>
      <c r="I685" s="394" t="str">
        <f t="shared" si="46"/>
        <v/>
      </c>
      <c r="J685" s="394" t="str">
        <f t="shared" si="47"/>
        <v/>
      </c>
      <c r="K685" s="394" t="str">
        <f t="shared" si="48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5"/>
        <v/>
      </c>
      <c r="I686" s="394" t="str">
        <f t="shared" si="46"/>
        <v/>
      </c>
      <c r="J686" s="394" t="str">
        <f t="shared" si="47"/>
        <v/>
      </c>
      <c r="K686" s="394" t="str">
        <f t="shared" si="48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5"/>
        <v/>
      </c>
      <c r="I687" s="394" t="str">
        <f t="shared" si="46"/>
        <v/>
      </c>
      <c r="J687" s="394" t="str">
        <f t="shared" si="47"/>
        <v/>
      </c>
      <c r="K687" s="394" t="str">
        <f t="shared" si="48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5"/>
        <v/>
      </c>
      <c r="I688" s="394" t="str">
        <f t="shared" si="46"/>
        <v/>
      </c>
      <c r="J688" s="394" t="str">
        <f t="shared" si="47"/>
        <v/>
      </c>
      <c r="K688" s="394" t="str">
        <f t="shared" si="48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5"/>
        <v/>
      </c>
      <c r="I689" s="394" t="str">
        <f t="shared" si="46"/>
        <v/>
      </c>
      <c r="J689" s="394" t="str">
        <f t="shared" si="47"/>
        <v/>
      </c>
      <c r="K689" s="394" t="str">
        <f t="shared" si="48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5"/>
        <v/>
      </c>
      <c r="I690" s="394" t="str">
        <f t="shared" si="46"/>
        <v/>
      </c>
      <c r="J690" s="394" t="str">
        <f t="shared" si="47"/>
        <v/>
      </c>
      <c r="K690" s="394" t="str">
        <f t="shared" si="48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5"/>
        <v/>
      </c>
      <c r="I691" s="394" t="str">
        <f t="shared" si="46"/>
        <v/>
      </c>
      <c r="J691" s="394" t="str">
        <f t="shared" si="47"/>
        <v/>
      </c>
      <c r="K691" s="394" t="str">
        <f t="shared" si="48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5"/>
        <v/>
      </c>
      <c r="I692" s="394" t="str">
        <f t="shared" si="46"/>
        <v/>
      </c>
      <c r="J692" s="394" t="str">
        <f t="shared" si="47"/>
        <v/>
      </c>
      <c r="K692" s="394" t="str">
        <f t="shared" si="48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5"/>
        <v/>
      </c>
      <c r="I693" s="394" t="str">
        <f t="shared" si="46"/>
        <v/>
      </c>
      <c r="J693" s="394" t="str">
        <f t="shared" si="47"/>
        <v/>
      </c>
      <c r="K693" s="394" t="str">
        <f t="shared" si="48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5"/>
        <v/>
      </c>
      <c r="I694" s="394" t="str">
        <f t="shared" si="46"/>
        <v/>
      </c>
      <c r="J694" s="394" t="str">
        <f t="shared" si="47"/>
        <v/>
      </c>
      <c r="K694" s="394" t="str">
        <f t="shared" si="48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5"/>
        <v/>
      </c>
      <c r="I695" s="394" t="str">
        <f t="shared" si="46"/>
        <v/>
      </c>
      <c r="J695" s="394" t="str">
        <f t="shared" si="47"/>
        <v/>
      </c>
      <c r="K695" s="394" t="str">
        <f t="shared" si="48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5"/>
        <v/>
      </c>
      <c r="I696" s="394" t="str">
        <f t="shared" si="46"/>
        <v/>
      </c>
      <c r="J696" s="394" t="str">
        <f t="shared" si="47"/>
        <v/>
      </c>
      <c r="K696" s="394" t="str">
        <f t="shared" si="48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5"/>
        <v/>
      </c>
      <c r="I697" s="394" t="str">
        <f t="shared" si="46"/>
        <v/>
      </c>
      <c r="J697" s="394" t="str">
        <f t="shared" si="47"/>
        <v/>
      </c>
      <c r="K697" s="394" t="str">
        <f t="shared" si="48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5"/>
        <v/>
      </c>
      <c r="I698" s="394" t="str">
        <f t="shared" si="46"/>
        <v/>
      </c>
      <c r="J698" s="394" t="str">
        <f t="shared" si="47"/>
        <v/>
      </c>
      <c r="K698" s="394" t="str">
        <f t="shared" si="48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5"/>
        <v/>
      </c>
      <c r="I699" s="394" t="str">
        <f t="shared" si="46"/>
        <v/>
      </c>
      <c r="J699" s="394" t="str">
        <f t="shared" si="47"/>
        <v/>
      </c>
      <c r="K699" s="394" t="str">
        <f t="shared" si="48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5"/>
        <v/>
      </c>
      <c r="I700" s="394" t="str">
        <f t="shared" si="46"/>
        <v/>
      </c>
      <c r="J700" s="394" t="str">
        <f t="shared" si="47"/>
        <v/>
      </c>
      <c r="K700" s="394" t="str">
        <f t="shared" si="48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5"/>
        <v/>
      </c>
      <c r="I701" s="394" t="str">
        <f t="shared" si="46"/>
        <v/>
      </c>
      <c r="J701" s="394" t="str">
        <f t="shared" si="47"/>
        <v/>
      </c>
      <c r="K701" s="394" t="str">
        <f t="shared" si="48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5"/>
        <v/>
      </c>
      <c r="I702" s="394" t="str">
        <f t="shared" si="46"/>
        <v/>
      </c>
      <c r="J702" s="394" t="str">
        <f t="shared" si="47"/>
        <v/>
      </c>
      <c r="K702" s="394" t="str">
        <f t="shared" si="48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5"/>
        <v/>
      </c>
      <c r="I703" s="394" t="str">
        <f t="shared" si="46"/>
        <v/>
      </c>
      <c r="J703" s="394" t="str">
        <f t="shared" si="47"/>
        <v/>
      </c>
      <c r="K703" s="394" t="str">
        <f t="shared" si="48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5"/>
        <v/>
      </c>
      <c r="I704" s="394" t="str">
        <f t="shared" si="46"/>
        <v/>
      </c>
      <c r="J704" s="394" t="str">
        <f t="shared" si="47"/>
        <v/>
      </c>
      <c r="K704" s="394" t="str">
        <f t="shared" si="48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5"/>
        <v/>
      </c>
      <c r="I705" s="394" t="str">
        <f t="shared" si="46"/>
        <v/>
      </c>
      <c r="J705" s="394" t="str">
        <f t="shared" si="47"/>
        <v/>
      </c>
      <c r="K705" s="394" t="str">
        <f t="shared" si="48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5"/>
        <v/>
      </c>
      <c r="I706" s="394" t="str">
        <f t="shared" si="46"/>
        <v/>
      </c>
      <c r="J706" s="394" t="str">
        <f t="shared" si="47"/>
        <v/>
      </c>
      <c r="K706" s="394" t="str">
        <f t="shared" si="48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5"/>
        <v/>
      </c>
      <c r="I707" s="394" t="str">
        <f t="shared" si="46"/>
        <v/>
      </c>
      <c r="J707" s="394" t="str">
        <f t="shared" si="47"/>
        <v/>
      </c>
      <c r="K707" s="394" t="str">
        <f t="shared" si="48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5"/>
        <v/>
      </c>
      <c r="I708" s="394" t="str">
        <f t="shared" si="46"/>
        <v/>
      </c>
      <c r="J708" s="394" t="str">
        <f t="shared" si="47"/>
        <v/>
      </c>
      <c r="K708" s="394" t="str">
        <f t="shared" si="48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5"/>
        <v/>
      </c>
      <c r="I709" s="394" t="str">
        <f t="shared" si="46"/>
        <v/>
      </c>
      <c r="J709" s="394" t="str">
        <f t="shared" si="47"/>
        <v/>
      </c>
      <c r="K709" s="394" t="str">
        <f t="shared" si="48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5"/>
        <v/>
      </c>
      <c r="I710" s="394" t="str">
        <f t="shared" si="46"/>
        <v/>
      </c>
      <c r="J710" s="394" t="str">
        <f t="shared" si="47"/>
        <v/>
      </c>
      <c r="K710" s="394" t="str">
        <f t="shared" si="48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5"/>
        <v/>
      </c>
      <c r="I711" s="394" t="str">
        <f t="shared" si="46"/>
        <v/>
      </c>
      <c r="J711" s="394" t="str">
        <f t="shared" si="47"/>
        <v/>
      </c>
      <c r="K711" s="394" t="str">
        <f t="shared" si="48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5"/>
        <v/>
      </c>
      <c r="I712" s="394" t="str">
        <f t="shared" si="46"/>
        <v/>
      </c>
      <c r="J712" s="394" t="str">
        <f t="shared" si="47"/>
        <v/>
      </c>
      <c r="K712" s="394" t="str">
        <f t="shared" si="48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5"/>
        <v/>
      </c>
      <c r="I713" s="394" t="str">
        <f t="shared" si="46"/>
        <v/>
      </c>
      <c r="J713" s="394" t="str">
        <f t="shared" si="47"/>
        <v/>
      </c>
      <c r="K713" s="394" t="str">
        <f t="shared" si="48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5"/>
        <v/>
      </c>
      <c r="I714" s="394" t="str">
        <f t="shared" si="46"/>
        <v/>
      </c>
      <c r="J714" s="394" t="str">
        <f t="shared" si="47"/>
        <v/>
      </c>
      <c r="K714" s="394" t="str">
        <f t="shared" si="48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5"/>
        <v/>
      </c>
      <c r="I715" s="394" t="str">
        <f t="shared" si="46"/>
        <v/>
      </c>
      <c r="J715" s="394" t="str">
        <f t="shared" si="47"/>
        <v/>
      </c>
      <c r="K715" s="394" t="str">
        <f t="shared" si="48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5"/>
        <v/>
      </c>
      <c r="I716" s="394" t="str">
        <f t="shared" si="46"/>
        <v/>
      </c>
      <c r="J716" s="394" t="str">
        <f t="shared" si="47"/>
        <v/>
      </c>
      <c r="K716" s="394" t="str">
        <f t="shared" si="48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5"/>
        <v/>
      </c>
      <c r="I717" s="394" t="str">
        <f t="shared" si="46"/>
        <v/>
      </c>
      <c r="J717" s="394" t="str">
        <f t="shared" si="47"/>
        <v/>
      </c>
      <c r="K717" s="394" t="str">
        <f t="shared" si="48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5"/>
        <v/>
      </c>
      <c r="I718" s="394" t="str">
        <f t="shared" si="46"/>
        <v/>
      </c>
      <c r="J718" s="394" t="str">
        <f t="shared" si="47"/>
        <v/>
      </c>
      <c r="K718" s="394" t="str">
        <f t="shared" si="48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5"/>
        <v/>
      </c>
      <c r="I719" s="394" t="str">
        <f t="shared" si="46"/>
        <v/>
      </c>
      <c r="J719" s="394" t="str">
        <f t="shared" si="47"/>
        <v/>
      </c>
      <c r="K719" s="394" t="str">
        <f t="shared" si="48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5"/>
        <v/>
      </c>
      <c r="I720" s="394" t="str">
        <f t="shared" si="46"/>
        <v/>
      </c>
      <c r="J720" s="394" t="str">
        <f t="shared" si="47"/>
        <v/>
      </c>
      <c r="K720" s="394" t="str">
        <f t="shared" si="48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5"/>
        <v/>
      </c>
      <c r="I721" s="394" t="str">
        <f t="shared" si="46"/>
        <v/>
      </c>
      <c r="J721" s="394" t="str">
        <f t="shared" si="47"/>
        <v/>
      </c>
      <c r="K721" s="394" t="str">
        <f t="shared" si="48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5"/>
        <v/>
      </c>
      <c r="I722" s="394" t="str">
        <f t="shared" si="46"/>
        <v/>
      </c>
      <c r="J722" s="394" t="str">
        <f t="shared" si="47"/>
        <v/>
      </c>
      <c r="K722" s="394" t="str">
        <f t="shared" si="48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5"/>
        <v/>
      </c>
      <c r="I723" s="394" t="str">
        <f t="shared" si="46"/>
        <v/>
      </c>
      <c r="J723" s="394" t="str">
        <f t="shared" si="47"/>
        <v/>
      </c>
      <c r="K723" s="394" t="str">
        <f t="shared" si="48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5"/>
        <v/>
      </c>
      <c r="I724" s="394" t="str">
        <f t="shared" si="46"/>
        <v/>
      </c>
      <c r="J724" s="394" t="str">
        <f t="shared" si="47"/>
        <v/>
      </c>
      <c r="K724" s="394" t="str">
        <f t="shared" si="48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5"/>
        <v/>
      </c>
      <c r="I725" s="394" t="str">
        <f t="shared" si="46"/>
        <v/>
      </c>
      <c r="J725" s="394" t="str">
        <f t="shared" si="47"/>
        <v/>
      </c>
      <c r="K725" s="394" t="str">
        <f t="shared" si="48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5"/>
        <v/>
      </c>
      <c r="I726" s="394" t="str">
        <f t="shared" si="46"/>
        <v/>
      </c>
      <c r="J726" s="394" t="str">
        <f t="shared" si="47"/>
        <v/>
      </c>
      <c r="K726" s="394" t="str">
        <f t="shared" si="48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49">IF($C727="","",ROUND((($B$2*$F727*($B$5/1000))/$B$6)*(1+IF($B$18="",0,$B$18)),2))</f>
        <v/>
      </c>
      <c r="I727" s="394" t="str">
        <f t="shared" ref="I727:I790" si="50">IF($C727="","",ROUND((($B$3*$F727*($B$5/1000))/$B$6)*(1+IF($B$18="",0,$B$18)),2))</f>
        <v/>
      </c>
      <c r="J727" s="394" t="str">
        <f t="shared" ref="J727:J790" si="51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2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49"/>
        <v/>
      </c>
      <c r="I728" s="394" t="str">
        <f t="shared" si="50"/>
        <v/>
      </c>
      <c r="J728" s="394" t="str">
        <f t="shared" si="51"/>
        <v/>
      </c>
      <c r="K728" s="394" t="str">
        <f t="shared" si="52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49"/>
        <v/>
      </c>
      <c r="I729" s="394" t="str">
        <f t="shared" si="50"/>
        <v/>
      </c>
      <c r="J729" s="394" t="str">
        <f t="shared" si="51"/>
        <v/>
      </c>
      <c r="K729" s="394" t="str">
        <f t="shared" si="52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49"/>
        <v/>
      </c>
      <c r="I730" s="394" t="str">
        <f t="shared" si="50"/>
        <v/>
      </c>
      <c r="J730" s="394" t="str">
        <f t="shared" si="51"/>
        <v/>
      </c>
      <c r="K730" s="394" t="str">
        <f t="shared" si="52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49"/>
        <v/>
      </c>
      <c r="I731" s="394" t="str">
        <f t="shared" si="50"/>
        <v/>
      </c>
      <c r="J731" s="394" t="str">
        <f t="shared" si="51"/>
        <v/>
      </c>
      <c r="K731" s="394" t="str">
        <f t="shared" si="52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49"/>
        <v/>
      </c>
      <c r="I732" s="394" t="str">
        <f t="shared" si="50"/>
        <v/>
      </c>
      <c r="J732" s="394" t="str">
        <f t="shared" si="51"/>
        <v/>
      </c>
      <c r="K732" s="394" t="str">
        <f t="shared" si="52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49"/>
        <v/>
      </c>
      <c r="I733" s="394" t="str">
        <f t="shared" si="50"/>
        <v/>
      </c>
      <c r="J733" s="394" t="str">
        <f t="shared" si="51"/>
        <v/>
      </c>
      <c r="K733" s="394" t="str">
        <f t="shared" si="52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49"/>
        <v/>
      </c>
      <c r="I734" s="394" t="str">
        <f t="shared" si="50"/>
        <v/>
      </c>
      <c r="J734" s="394" t="str">
        <f t="shared" si="51"/>
        <v/>
      </c>
      <c r="K734" s="394" t="str">
        <f t="shared" si="52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49"/>
        <v/>
      </c>
      <c r="I735" s="394" t="str">
        <f t="shared" si="50"/>
        <v/>
      </c>
      <c r="J735" s="394" t="str">
        <f t="shared" si="51"/>
        <v/>
      </c>
      <c r="K735" s="394" t="str">
        <f t="shared" si="52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49"/>
        <v/>
      </c>
      <c r="I736" s="394" t="str">
        <f t="shared" si="50"/>
        <v/>
      </c>
      <c r="J736" s="394" t="str">
        <f t="shared" si="51"/>
        <v/>
      </c>
      <c r="K736" s="394" t="str">
        <f t="shared" si="52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49"/>
        <v/>
      </c>
      <c r="I737" s="394" t="str">
        <f t="shared" si="50"/>
        <v/>
      </c>
      <c r="J737" s="394" t="str">
        <f t="shared" si="51"/>
        <v/>
      </c>
      <c r="K737" s="394" t="str">
        <f t="shared" si="52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49"/>
        <v/>
      </c>
      <c r="I738" s="394" t="str">
        <f t="shared" si="50"/>
        <v/>
      </c>
      <c r="J738" s="394" t="str">
        <f t="shared" si="51"/>
        <v/>
      </c>
      <c r="K738" s="394" t="str">
        <f t="shared" si="52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49"/>
        <v/>
      </c>
      <c r="I739" s="394" t="str">
        <f t="shared" si="50"/>
        <v/>
      </c>
      <c r="J739" s="394" t="str">
        <f t="shared" si="51"/>
        <v/>
      </c>
      <c r="K739" s="394" t="str">
        <f t="shared" si="52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49"/>
        <v/>
      </c>
      <c r="I740" s="394" t="str">
        <f t="shared" si="50"/>
        <v/>
      </c>
      <c r="J740" s="394" t="str">
        <f t="shared" si="51"/>
        <v/>
      </c>
      <c r="K740" s="394" t="str">
        <f t="shared" si="52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49"/>
        <v/>
      </c>
      <c r="I741" s="394" t="str">
        <f t="shared" si="50"/>
        <v/>
      </c>
      <c r="J741" s="394" t="str">
        <f t="shared" si="51"/>
        <v/>
      </c>
      <c r="K741" s="394" t="str">
        <f t="shared" si="52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49"/>
        <v/>
      </c>
      <c r="I742" s="394" t="str">
        <f t="shared" si="50"/>
        <v/>
      </c>
      <c r="J742" s="394" t="str">
        <f t="shared" si="51"/>
        <v/>
      </c>
      <c r="K742" s="394" t="str">
        <f t="shared" si="52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49"/>
        <v/>
      </c>
      <c r="I743" s="394" t="str">
        <f t="shared" si="50"/>
        <v/>
      </c>
      <c r="J743" s="394" t="str">
        <f t="shared" si="51"/>
        <v/>
      </c>
      <c r="K743" s="394" t="str">
        <f t="shared" si="52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49"/>
        <v/>
      </c>
      <c r="I744" s="394" t="str">
        <f t="shared" si="50"/>
        <v/>
      </c>
      <c r="J744" s="394" t="str">
        <f t="shared" si="51"/>
        <v/>
      </c>
      <c r="K744" s="394" t="str">
        <f t="shared" si="52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49"/>
        <v/>
      </c>
      <c r="I745" s="394" t="str">
        <f t="shared" si="50"/>
        <v/>
      </c>
      <c r="J745" s="394" t="str">
        <f t="shared" si="51"/>
        <v/>
      </c>
      <c r="K745" s="394" t="str">
        <f t="shared" si="52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49"/>
        <v/>
      </c>
      <c r="I746" s="394" t="str">
        <f t="shared" si="50"/>
        <v/>
      </c>
      <c r="J746" s="394" t="str">
        <f t="shared" si="51"/>
        <v/>
      </c>
      <c r="K746" s="394" t="str">
        <f t="shared" si="52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49"/>
        <v/>
      </c>
      <c r="I747" s="394" t="str">
        <f t="shared" si="50"/>
        <v/>
      </c>
      <c r="J747" s="394" t="str">
        <f t="shared" si="51"/>
        <v/>
      </c>
      <c r="K747" s="394" t="str">
        <f t="shared" si="52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49"/>
        <v/>
      </c>
      <c r="I748" s="394" t="str">
        <f t="shared" si="50"/>
        <v/>
      </c>
      <c r="J748" s="394" t="str">
        <f t="shared" si="51"/>
        <v/>
      </c>
      <c r="K748" s="394" t="str">
        <f t="shared" si="52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49"/>
        <v/>
      </c>
      <c r="I749" s="394" t="str">
        <f t="shared" si="50"/>
        <v/>
      </c>
      <c r="J749" s="394" t="str">
        <f t="shared" si="51"/>
        <v/>
      </c>
      <c r="K749" s="394" t="str">
        <f t="shared" si="52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49"/>
        <v/>
      </c>
      <c r="I750" s="394" t="str">
        <f t="shared" si="50"/>
        <v/>
      </c>
      <c r="J750" s="394" t="str">
        <f t="shared" si="51"/>
        <v/>
      </c>
      <c r="K750" s="394" t="str">
        <f t="shared" si="52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49"/>
        <v/>
      </c>
      <c r="I751" s="394" t="str">
        <f t="shared" si="50"/>
        <v/>
      </c>
      <c r="J751" s="394" t="str">
        <f t="shared" si="51"/>
        <v/>
      </c>
      <c r="K751" s="394" t="str">
        <f t="shared" si="52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49"/>
        <v/>
      </c>
      <c r="I752" s="394" t="str">
        <f t="shared" si="50"/>
        <v/>
      </c>
      <c r="J752" s="394" t="str">
        <f t="shared" si="51"/>
        <v/>
      </c>
      <c r="K752" s="394" t="str">
        <f t="shared" si="52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49"/>
        <v/>
      </c>
      <c r="I753" s="394" t="str">
        <f t="shared" si="50"/>
        <v/>
      </c>
      <c r="J753" s="394" t="str">
        <f t="shared" si="51"/>
        <v/>
      </c>
      <c r="K753" s="394" t="str">
        <f t="shared" si="52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49"/>
        <v/>
      </c>
      <c r="I754" s="394" t="str">
        <f t="shared" si="50"/>
        <v/>
      </c>
      <c r="J754" s="394" t="str">
        <f t="shared" si="51"/>
        <v/>
      </c>
      <c r="K754" s="394" t="str">
        <f t="shared" si="52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49"/>
        <v/>
      </c>
      <c r="I755" s="394" t="str">
        <f t="shared" si="50"/>
        <v/>
      </c>
      <c r="J755" s="394" t="str">
        <f t="shared" si="51"/>
        <v/>
      </c>
      <c r="K755" s="394" t="str">
        <f t="shared" si="52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49"/>
        <v/>
      </c>
      <c r="I756" s="394" t="str">
        <f t="shared" si="50"/>
        <v/>
      </c>
      <c r="J756" s="394" t="str">
        <f t="shared" si="51"/>
        <v/>
      </c>
      <c r="K756" s="394" t="str">
        <f t="shared" si="52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49"/>
        <v/>
      </c>
      <c r="I757" s="394" t="str">
        <f t="shared" si="50"/>
        <v/>
      </c>
      <c r="J757" s="394" t="str">
        <f t="shared" si="51"/>
        <v/>
      </c>
      <c r="K757" s="394" t="str">
        <f t="shared" si="52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49"/>
        <v/>
      </c>
      <c r="I758" s="394" t="str">
        <f t="shared" si="50"/>
        <v/>
      </c>
      <c r="J758" s="394" t="str">
        <f t="shared" si="51"/>
        <v/>
      </c>
      <c r="K758" s="394" t="str">
        <f t="shared" si="52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49"/>
        <v/>
      </c>
      <c r="I759" s="394" t="str">
        <f t="shared" si="50"/>
        <v/>
      </c>
      <c r="J759" s="394" t="str">
        <f t="shared" si="51"/>
        <v/>
      </c>
      <c r="K759" s="394" t="str">
        <f t="shared" si="52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49"/>
        <v/>
      </c>
      <c r="I760" s="394" t="str">
        <f t="shared" si="50"/>
        <v/>
      </c>
      <c r="J760" s="394" t="str">
        <f t="shared" si="51"/>
        <v/>
      </c>
      <c r="K760" s="394" t="str">
        <f t="shared" si="52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49"/>
        <v/>
      </c>
      <c r="I761" s="394" t="str">
        <f t="shared" si="50"/>
        <v/>
      </c>
      <c r="J761" s="394" t="str">
        <f t="shared" si="51"/>
        <v/>
      </c>
      <c r="K761" s="394" t="str">
        <f t="shared" si="52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49"/>
        <v/>
      </c>
      <c r="I762" s="394" t="str">
        <f t="shared" si="50"/>
        <v/>
      </c>
      <c r="J762" s="394" t="str">
        <f t="shared" si="51"/>
        <v/>
      </c>
      <c r="K762" s="394" t="str">
        <f t="shared" si="52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49"/>
        <v/>
      </c>
      <c r="I763" s="394" t="str">
        <f t="shared" si="50"/>
        <v/>
      </c>
      <c r="J763" s="394" t="str">
        <f t="shared" si="51"/>
        <v/>
      </c>
      <c r="K763" s="394" t="str">
        <f t="shared" si="52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49"/>
        <v/>
      </c>
      <c r="I764" s="394" t="str">
        <f t="shared" si="50"/>
        <v/>
      </c>
      <c r="J764" s="394" t="str">
        <f t="shared" si="51"/>
        <v/>
      </c>
      <c r="K764" s="394" t="str">
        <f t="shared" si="52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49"/>
        <v/>
      </c>
      <c r="I765" s="394" t="str">
        <f t="shared" si="50"/>
        <v/>
      </c>
      <c r="J765" s="394" t="str">
        <f t="shared" si="51"/>
        <v/>
      </c>
      <c r="K765" s="394" t="str">
        <f t="shared" si="52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49"/>
        <v/>
      </c>
      <c r="I766" s="394" t="str">
        <f t="shared" si="50"/>
        <v/>
      </c>
      <c r="J766" s="394" t="str">
        <f t="shared" si="51"/>
        <v/>
      </c>
      <c r="K766" s="394" t="str">
        <f t="shared" si="52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49"/>
        <v/>
      </c>
      <c r="I767" s="394" t="str">
        <f t="shared" si="50"/>
        <v/>
      </c>
      <c r="J767" s="394" t="str">
        <f t="shared" si="51"/>
        <v/>
      </c>
      <c r="K767" s="394" t="str">
        <f t="shared" si="52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49"/>
        <v/>
      </c>
      <c r="I768" s="394" t="str">
        <f t="shared" si="50"/>
        <v/>
      </c>
      <c r="J768" s="394" t="str">
        <f t="shared" si="51"/>
        <v/>
      </c>
      <c r="K768" s="394" t="str">
        <f t="shared" si="52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49"/>
        <v/>
      </c>
      <c r="I769" s="394" t="str">
        <f t="shared" si="50"/>
        <v/>
      </c>
      <c r="J769" s="394" t="str">
        <f t="shared" si="51"/>
        <v/>
      </c>
      <c r="K769" s="394" t="str">
        <f t="shared" si="52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49"/>
        <v/>
      </c>
      <c r="I770" s="394" t="str">
        <f t="shared" si="50"/>
        <v/>
      </c>
      <c r="J770" s="394" t="str">
        <f t="shared" si="51"/>
        <v/>
      </c>
      <c r="K770" s="394" t="str">
        <f t="shared" si="52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49"/>
        <v/>
      </c>
      <c r="I771" s="394" t="str">
        <f t="shared" si="50"/>
        <v/>
      </c>
      <c r="J771" s="394" t="str">
        <f t="shared" si="51"/>
        <v/>
      </c>
      <c r="K771" s="394" t="str">
        <f t="shared" si="52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49"/>
        <v/>
      </c>
      <c r="I772" s="394" t="str">
        <f t="shared" si="50"/>
        <v/>
      </c>
      <c r="J772" s="394" t="str">
        <f t="shared" si="51"/>
        <v/>
      </c>
      <c r="K772" s="394" t="str">
        <f t="shared" si="52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49"/>
        <v/>
      </c>
      <c r="I773" s="394" t="str">
        <f t="shared" si="50"/>
        <v/>
      </c>
      <c r="J773" s="394" t="str">
        <f t="shared" si="51"/>
        <v/>
      </c>
      <c r="K773" s="394" t="str">
        <f t="shared" si="52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49"/>
        <v/>
      </c>
      <c r="I774" s="394" t="str">
        <f t="shared" si="50"/>
        <v/>
      </c>
      <c r="J774" s="394" t="str">
        <f t="shared" si="51"/>
        <v/>
      </c>
      <c r="K774" s="394" t="str">
        <f t="shared" si="52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49"/>
        <v/>
      </c>
      <c r="I775" s="394" t="str">
        <f t="shared" si="50"/>
        <v/>
      </c>
      <c r="J775" s="394" t="str">
        <f t="shared" si="51"/>
        <v/>
      </c>
      <c r="K775" s="394" t="str">
        <f t="shared" si="52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49"/>
        <v/>
      </c>
      <c r="I776" s="394" t="str">
        <f t="shared" si="50"/>
        <v/>
      </c>
      <c r="J776" s="394" t="str">
        <f t="shared" si="51"/>
        <v/>
      </c>
      <c r="K776" s="394" t="str">
        <f t="shared" si="52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49"/>
        <v/>
      </c>
      <c r="I777" s="394" t="str">
        <f t="shared" si="50"/>
        <v/>
      </c>
      <c r="J777" s="394" t="str">
        <f t="shared" si="51"/>
        <v/>
      </c>
      <c r="K777" s="394" t="str">
        <f t="shared" si="52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49"/>
        <v/>
      </c>
      <c r="I778" s="394" t="str">
        <f t="shared" si="50"/>
        <v/>
      </c>
      <c r="J778" s="394" t="str">
        <f t="shared" si="51"/>
        <v/>
      </c>
      <c r="K778" s="394" t="str">
        <f t="shared" si="52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49"/>
        <v/>
      </c>
      <c r="I779" s="394" t="str">
        <f t="shared" si="50"/>
        <v/>
      </c>
      <c r="J779" s="394" t="str">
        <f t="shared" si="51"/>
        <v/>
      </c>
      <c r="K779" s="394" t="str">
        <f t="shared" si="52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49"/>
        <v/>
      </c>
      <c r="I780" s="394" t="str">
        <f t="shared" si="50"/>
        <v/>
      </c>
      <c r="J780" s="394" t="str">
        <f t="shared" si="51"/>
        <v/>
      </c>
      <c r="K780" s="394" t="str">
        <f t="shared" si="52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49"/>
        <v/>
      </c>
      <c r="I781" s="394" t="str">
        <f t="shared" si="50"/>
        <v/>
      </c>
      <c r="J781" s="394" t="str">
        <f t="shared" si="51"/>
        <v/>
      </c>
      <c r="K781" s="394" t="str">
        <f t="shared" si="52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49"/>
        <v/>
      </c>
      <c r="I782" s="394" t="str">
        <f t="shared" si="50"/>
        <v/>
      </c>
      <c r="J782" s="394" t="str">
        <f t="shared" si="51"/>
        <v/>
      </c>
      <c r="K782" s="394" t="str">
        <f t="shared" si="52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49"/>
        <v/>
      </c>
      <c r="I783" s="394" t="str">
        <f t="shared" si="50"/>
        <v/>
      </c>
      <c r="J783" s="394" t="str">
        <f t="shared" si="51"/>
        <v/>
      </c>
      <c r="K783" s="394" t="str">
        <f t="shared" si="52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49"/>
        <v/>
      </c>
      <c r="I784" s="394" t="str">
        <f t="shared" si="50"/>
        <v/>
      </c>
      <c r="J784" s="394" t="str">
        <f t="shared" si="51"/>
        <v/>
      </c>
      <c r="K784" s="394" t="str">
        <f t="shared" si="52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49"/>
        <v/>
      </c>
      <c r="I785" s="394" t="str">
        <f t="shared" si="50"/>
        <v/>
      </c>
      <c r="J785" s="394" t="str">
        <f t="shared" si="51"/>
        <v/>
      </c>
      <c r="K785" s="394" t="str">
        <f t="shared" si="52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49"/>
        <v/>
      </c>
      <c r="I786" s="394" t="str">
        <f t="shared" si="50"/>
        <v/>
      </c>
      <c r="J786" s="394" t="str">
        <f t="shared" si="51"/>
        <v/>
      </c>
      <c r="K786" s="394" t="str">
        <f t="shared" si="52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49"/>
        <v/>
      </c>
      <c r="I787" s="394" t="str">
        <f t="shared" si="50"/>
        <v/>
      </c>
      <c r="J787" s="394" t="str">
        <f t="shared" si="51"/>
        <v/>
      </c>
      <c r="K787" s="394" t="str">
        <f t="shared" si="52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49"/>
        <v/>
      </c>
      <c r="I788" s="394" t="str">
        <f t="shared" si="50"/>
        <v/>
      </c>
      <c r="J788" s="394" t="str">
        <f t="shared" si="51"/>
        <v/>
      </c>
      <c r="K788" s="394" t="str">
        <f t="shared" si="52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49"/>
        <v/>
      </c>
      <c r="I789" s="394" t="str">
        <f t="shared" si="50"/>
        <v/>
      </c>
      <c r="J789" s="394" t="str">
        <f t="shared" si="51"/>
        <v/>
      </c>
      <c r="K789" s="394" t="str">
        <f t="shared" si="52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49"/>
        <v/>
      </c>
      <c r="I790" s="394" t="str">
        <f t="shared" si="50"/>
        <v/>
      </c>
      <c r="J790" s="394" t="str">
        <f t="shared" si="51"/>
        <v/>
      </c>
      <c r="K790" s="394" t="str">
        <f t="shared" si="52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3">IF($C791="","",ROUND((($B$2*$F791*($B$5/1000))/$B$6)*(1+IF($B$18="",0,$B$18)),2))</f>
        <v/>
      </c>
      <c r="I791" s="394" t="str">
        <f t="shared" ref="I791:I854" si="54">IF($C791="","",ROUND((($B$3*$F791*($B$5/1000))/$B$6)*(1+IF($B$18="",0,$B$18)),2))</f>
        <v/>
      </c>
      <c r="J791" s="394" t="str">
        <f t="shared" ref="J791:J854" si="55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6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3"/>
        <v/>
      </c>
      <c r="I792" s="394" t="str">
        <f t="shared" si="54"/>
        <v/>
      </c>
      <c r="J792" s="394" t="str">
        <f t="shared" si="55"/>
        <v/>
      </c>
      <c r="K792" s="394" t="str">
        <f t="shared" si="56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3"/>
        <v/>
      </c>
      <c r="I793" s="394" t="str">
        <f t="shared" si="54"/>
        <v/>
      </c>
      <c r="J793" s="394" t="str">
        <f t="shared" si="55"/>
        <v/>
      </c>
      <c r="K793" s="394" t="str">
        <f t="shared" si="56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3"/>
        <v/>
      </c>
      <c r="I794" s="394" t="str">
        <f t="shared" si="54"/>
        <v/>
      </c>
      <c r="J794" s="394" t="str">
        <f t="shared" si="55"/>
        <v/>
      </c>
      <c r="K794" s="394" t="str">
        <f t="shared" si="56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3"/>
        <v/>
      </c>
      <c r="I795" s="394" t="str">
        <f t="shared" si="54"/>
        <v/>
      </c>
      <c r="J795" s="394" t="str">
        <f t="shared" si="55"/>
        <v/>
      </c>
      <c r="K795" s="394" t="str">
        <f t="shared" si="56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3"/>
        <v/>
      </c>
      <c r="I796" s="394" t="str">
        <f t="shared" si="54"/>
        <v/>
      </c>
      <c r="J796" s="394" t="str">
        <f t="shared" si="55"/>
        <v/>
      </c>
      <c r="K796" s="394" t="str">
        <f t="shared" si="56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3"/>
        <v/>
      </c>
      <c r="I797" s="394" t="str">
        <f t="shared" si="54"/>
        <v/>
      </c>
      <c r="J797" s="394" t="str">
        <f t="shared" si="55"/>
        <v/>
      </c>
      <c r="K797" s="394" t="str">
        <f t="shared" si="56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3"/>
        <v/>
      </c>
      <c r="I798" s="394" t="str">
        <f t="shared" si="54"/>
        <v/>
      </c>
      <c r="J798" s="394" t="str">
        <f t="shared" si="55"/>
        <v/>
      </c>
      <c r="K798" s="394" t="str">
        <f t="shared" si="56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3"/>
        <v/>
      </c>
      <c r="I799" s="394" t="str">
        <f t="shared" si="54"/>
        <v/>
      </c>
      <c r="J799" s="394" t="str">
        <f t="shared" si="55"/>
        <v/>
      </c>
      <c r="K799" s="394" t="str">
        <f t="shared" si="56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3"/>
        <v/>
      </c>
      <c r="I800" s="394" t="str">
        <f t="shared" si="54"/>
        <v/>
      </c>
      <c r="J800" s="394" t="str">
        <f t="shared" si="55"/>
        <v/>
      </c>
      <c r="K800" s="394" t="str">
        <f t="shared" si="56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3"/>
        <v/>
      </c>
      <c r="I801" s="394" t="str">
        <f t="shared" si="54"/>
        <v/>
      </c>
      <c r="J801" s="394" t="str">
        <f t="shared" si="55"/>
        <v/>
      </c>
      <c r="K801" s="394" t="str">
        <f t="shared" si="56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3"/>
        <v/>
      </c>
      <c r="I802" s="394" t="str">
        <f t="shared" si="54"/>
        <v/>
      </c>
      <c r="J802" s="394" t="str">
        <f t="shared" si="55"/>
        <v/>
      </c>
      <c r="K802" s="394" t="str">
        <f t="shared" si="56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3"/>
        <v/>
      </c>
      <c r="I803" s="394" t="str">
        <f t="shared" si="54"/>
        <v/>
      </c>
      <c r="J803" s="394" t="str">
        <f t="shared" si="55"/>
        <v/>
      </c>
      <c r="K803" s="394" t="str">
        <f t="shared" si="56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3"/>
        <v/>
      </c>
      <c r="I804" s="394" t="str">
        <f t="shared" si="54"/>
        <v/>
      </c>
      <c r="J804" s="394" t="str">
        <f t="shared" si="55"/>
        <v/>
      </c>
      <c r="K804" s="394" t="str">
        <f t="shared" si="56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3"/>
        <v/>
      </c>
      <c r="I805" s="394" t="str">
        <f t="shared" si="54"/>
        <v/>
      </c>
      <c r="J805" s="394" t="str">
        <f t="shared" si="55"/>
        <v/>
      </c>
      <c r="K805" s="394" t="str">
        <f t="shared" si="56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3"/>
        <v/>
      </c>
      <c r="I806" s="394" t="str">
        <f t="shared" si="54"/>
        <v/>
      </c>
      <c r="J806" s="394" t="str">
        <f t="shared" si="55"/>
        <v/>
      </c>
      <c r="K806" s="394" t="str">
        <f t="shared" si="56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3"/>
        <v/>
      </c>
      <c r="I807" s="394" t="str">
        <f t="shared" si="54"/>
        <v/>
      </c>
      <c r="J807" s="394" t="str">
        <f t="shared" si="55"/>
        <v/>
      </c>
      <c r="K807" s="394" t="str">
        <f t="shared" si="56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3"/>
        <v/>
      </c>
      <c r="I808" s="394" t="str">
        <f t="shared" si="54"/>
        <v/>
      </c>
      <c r="J808" s="394" t="str">
        <f t="shared" si="55"/>
        <v/>
      </c>
      <c r="K808" s="394" t="str">
        <f t="shared" si="56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3"/>
        <v/>
      </c>
      <c r="I809" s="394" t="str">
        <f t="shared" si="54"/>
        <v/>
      </c>
      <c r="J809" s="394" t="str">
        <f t="shared" si="55"/>
        <v/>
      </c>
      <c r="K809" s="394" t="str">
        <f t="shared" si="56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3"/>
        <v/>
      </c>
      <c r="I810" s="394" t="str">
        <f t="shared" si="54"/>
        <v/>
      </c>
      <c r="J810" s="394" t="str">
        <f t="shared" si="55"/>
        <v/>
      </c>
      <c r="K810" s="394" t="str">
        <f t="shared" si="56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3"/>
        <v/>
      </c>
      <c r="I811" s="394" t="str">
        <f t="shared" si="54"/>
        <v/>
      </c>
      <c r="J811" s="394" t="str">
        <f t="shared" si="55"/>
        <v/>
      </c>
      <c r="K811" s="394" t="str">
        <f t="shared" si="56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3"/>
        <v/>
      </c>
      <c r="I812" s="394" t="str">
        <f t="shared" si="54"/>
        <v/>
      </c>
      <c r="J812" s="394" t="str">
        <f t="shared" si="55"/>
        <v/>
      </c>
      <c r="K812" s="394" t="str">
        <f t="shared" si="56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3"/>
        <v/>
      </c>
      <c r="I813" s="394" t="str">
        <f t="shared" si="54"/>
        <v/>
      </c>
      <c r="J813" s="394" t="str">
        <f t="shared" si="55"/>
        <v/>
      </c>
      <c r="K813" s="394" t="str">
        <f t="shared" si="56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3"/>
        <v/>
      </c>
      <c r="I814" s="394" t="str">
        <f t="shared" si="54"/>
        <v/>
      </c>
      <c r="J814" s="394" t="str">
        <f t="shared" si="55"/>
        <v/>
      </c>
      <c r="K814" s="394" t="str">
        <f t="shared" si="56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3"/>
        <v/>
      </c>
      <c r="I815" s="394" t="str">
        <f t="shared" si="54"/>
        <v/>
      </c>
      <c r="J815" s="394" t="str">
        <f t="shared" si="55"/>
        <v/>
      </c>
      <c r="K815" s="394" t="str">
        <f t="shared" si="56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3"/>
        <v/>
      </c>
      <c r="I816" s="394" t="str">
        <f t="shared" si="54"/>
        <v/>
      </c>
      <c r="J816" s="394" t="str">
        <f t="shared" si="55"/>
        <v/>
      </c>
      <c r="K816" s="394" t="str">
        <f t="shared" si="56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3"/>
        <v/>
      </c>
      <c r="I817" s="394" t="str">
        <f t="shared" si="54"/>
        <v/>
      </c>
      <c r="J817" s="394" t="str">
        <f t="shared" si="55"/>
        <v/>
      </c>
      <c r="K817" s="394" t="str">
        <f t="shared" si="56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3"/>
        <v/>
      </c>
      <c r="I818" s="394" t="str">
        <f t="shared" si="54"/>
        <v/>
      </c>
      <c r="J818" s="394" t="str">
        <f t="shared" si="55"/>
        <v/>
      </c>
      <c r="K818" s="394" t="str">
        <f t="shared" si="56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3"/>
        <v/>
      </c>
      <c r="I819" s="394" t="str">
        <f t="shared" si="54"/>
        <v/>
      </c>
      <c r="J819" s="394" t="str">
        <f t="shared" si="55"/>
        <v/>
      </c>
      <c r="K819" s="394" t="str">
        <f t="shared" si="56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3"/>
        <v/>
      </c>
      <c r="I820" s="394" t="str">
        <f t="shared" si="54"/>
        <v/>
      </c>
      <c r="J820" s="394" t="str">
        <f t="shared" si="55"/>
        <v/>
      </c>
      <c r="K820" s="394" t="str">
        <f t="shared" si="56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3"/>
        <v/>
      </c>
      <c r="I821" s="394" t="str">
        <f t="shared" si="54"/>
        <v/>
      </c>
      <c r="J821" s="394" t="str">
        <f t="shared" si="55"/>
        <v/>
      </c>
      <c r="K821" s="394" t="str">
        <f t="shared" si="56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3"/>
        <v/>
      </c>
      <c r="I822" s="394" t="str">
        <f t="shared" si="54"/>
        <v/>
      </c>
      <c r="J822" s="394" t="str">
        <f t="shared" si="55"/>
        <v/>
      </c>
      <c r="K822" s="394" t="str">
        <f t="shared" si="56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3"/>
        <v/>
      </c>
      <c r="I823" s="394" t="str">
        <f t="shared" si="54"/>
        <v/>
      </c>
      <c r="J823" s="394" t="str">
        <f t="shared" si="55"/>
        <v/>
      </c>
      <c r="K823" s="394" t="str">
        <f t="shared" si="56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3"/>
        <v/>
      </c>
      <c r="I824" s="394" t="str">
        <f t="shared" si="54"/>
        <v/>
      </c>
      <c r="J824" s="394" t="str">
        <f t="shared" si="55"/>
        <v/>
      </c>
      <c r="K824" s="394" t="str">
        <f t="shared" si="56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3"/>
        <v/>
      </c>
      <c r="I825" s="394" t="str">
        <f t="shared" si="54"/>
        <v/>
      </c>
      <c r="J825" s="394" t="str">
        <f t="shared" si="55"/>
        <v/>
      </c>
      <c r="K825" s="394" t="str">
        <f t="shared" si="56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3"/>
        <v/>
      </c>
      <c r="I826" s="394" t="str">
        <f t="shared" si="54"/>
        <v/>
      </c>
      <c r="J826" s="394" t="str">
        <f t="shared" si="55"/>
        <v/>
      </c>
      <c r="K826" s="394" t="str">
        <f t="shared" si="56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3"/>
        <v/>
      </c>
      <c r="I827" s="394" t="str">
        <f t="shared" si="54"/>
        <v/>
      </c>
      <c r="J827" s="394" t="str">
        <f t="shared" si="55"/>
        <v/>
      </c>
      <c r="K827" s="394" t="str">
        <f t="shared" si="56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3"/>
        <v/>
      </c>
      <c r="I828" s="394" t="str">
        <f t="shared" si="54"/>
        <v/>
      </c>
      <c r="J828" s="394" t="str">
        <f t="shared" si="55"/>
        <v/>
      </c>
      <c r="K828" s="394" t="str">
        <f t="shared" si="56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3"/>
        <v/>
      </c>
      <c r="I829" s="394" t="str">
        <f t="shared" si="54"/>
        <v/>
      </c>
      <c r="J829" s="394" t="str">
        <f t="shared" si="55"/>
        <v/>
      </c>
      <c r="K829" s="394" t="str">
        <f t="shared" si="56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3"/>
        <v/>
      </c>
      <c r="I830" s="394" t="str">
        <f t="shared" si="54"/>
        <v/>
      </c>
      <c r="J830" s="394" t="str">
        <f t="shared" si="55"/>
        <v/>
      </c>
      <c r="K830" s="394" t="str">
        <f t="shared" si="56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3"/>
        <v/>
      </c>
      <c r="I831" s="394" t="str">
        <f t="shared" si="54"/>
        <v/>
      </c>
      <c r="J831" s="394" t="str">
        <f t="shared" si="55"/>
        <v/>
      </c>
      <c r="K831" s="394" t="str">
        <f t="shared" si="56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3"/>
        <v/>
      </c>
      <c r="I832" s="394" t="str">
        <f t="shared" si="54"/>
        <v/>
      </c>
      <c r="J832" s="394" t="str">
        <f t="shared" si="55"/>
        <v/>
      </c>
      <c r="K832" s="394" t="str">
        <f t="shared" si="56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3"/>
        <v/>
      </c>
      <c r="I833" s="394" t="str">
        <f t="shared" si="54"/>
        <v/>
      </c>
      <c r="J833" s="394" t="str">
        <f t="shared" si="55"/>
        <v/>
      </c>
      <c r="K833" s="394" t="str">
        <f t="shared" si="56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3"/>
        <v/>
      </c>
      <c r="I834" s="394" t="str">
        <f t="shared" si="54"/>
        <v/>
      </c>
      <c r="J834" s="394" t="str">
        <f t="shared" si="55"/>
        <v/>
      </c>
      <c r="K834" s="394" t="str">
        <f t="shared" si="56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3"/>
        <v/>
      </c>
      <c r="I835" s="394" t="str">
        <f t="shared" si="54"/>
        <v/>
      </c>
      <c r="J835" s="394" t="str">
        <f t="shared" si="55"/>
        <v/>
      </c>
      <c r="K835" s="394" t="str">
        <f t="shared" si="56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3"/>
        <v/>
      </c>
      <c r="I836" s="394" t="str">
        <f t="shared" si="54"/>
        <v/>
      </c>
      <c r="J836" s="394" t="str">
        <f t="shared" si="55"/>
        <v/>
      </c>
      <c r="K836" s="394" t="str">
        <f t="shared" si="56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3"/>
        <v/>
      </c>
      <c r="I837" s="394" t="str">
        <f t="shared" si="54"/>
        <v/>
      </c>
      <c r="J837" s="394" t="str">
        <f t="shared" si="55"/>
        <v/>
      </c>
      <c r="K837" s="394" t="str">
        <f t="shared" si="56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3"/>
        <v/>
      </c>
      <c r="I838" s="394" t="str">
        <f t="shared" si="54"/>
        <v/>
      </c>
      <c r="J838" s="394" t="str">
        <f t="shared" si="55"/>
        <v/>
      </c>
      <c r="K838" s="394" t="str">
        <f t="shared" si="56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3"/>
        <v/>
      </c>
      <c r="I839" s="394" t="str">
        <f t="shared" si="54"/>
        <v/>
      </c>
      <c r="J839" s="394" t="str">
        <f t="shared" si="55"/>
        <v/>
      </c>
      <c r="K839" s="394" t="str">
        <f t="shared" si="56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3"/>
        <v/>
      </c>
      <c r="I840" s="394" t="str">
        <f t="shared" si="54"/>
        <v/>
      </c>
      <c r="J840" s="394" t="str">
        <f t="shared" si="55"/>
        <v/>
      </c>
      <c r="K840" s="394" t="str">
        <f t="shared" si="56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3"/>
        <v/>
      </c>
      <c r="I841" s="394" t="str">
        <f t="shared" si="54"/>
        <v/>
      </c>
      <c r="J841" s="394" t="str">
        <f t="shared" si="55"/>
        <v/>
      </c>
      <c r="K841" s="394" t="str">
        <f t="shared" si="56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3"/>
        <v/>
      </c>
      <c r="I842" s="394" t="str">
        <f t="shared" si="54"/>
        <v/>
      </c>
      <c r="J842" s="394" t="str">
        <f t="shared" si="55"/>
        <v/>
      </c>
      <c r="K842" s="394" t="str">
        <f t="shared" si="56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3"/>
        <v/>
      </c>
      <c r="I843" s="394" t="str">
        <f t="shared" si="54"/>
        <v/>
      </c>
      <c r="J843" s="394" t="str">
        <f t="shared" si="55"/>
        <v/>
      </c>
      <c r="K843" s="394" t="str">
        <f t="shared" si="56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3"/>
        <v/>
      </c>
      <c r="I844" s="394" t="str">
        <f t="shared" si="54"/>
        <v/>
      </c>
      <c r="J844" s="394" t="str">
        <f t="shared" si="55"/>
        <v/>
      </c>
      <c r="K844" s="394" t="str">
        <f t="shared" si="56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3"/>
        <v/>
      </c>
      <c r="I845" s="394" t="str">
        <f t="shared" si="54"/>
        <v/>
      </c>
      <c r="J845" s="394" t="str">
        <f t="shared" si="55"/>
        <v/>
      </c>
      <c r="K845" s="394" t="str">
        <f t="shared" si="56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3"/>
        <v/>
      </c>
      <c r="I846" s="394" t="str">
        <f t="shared" si="54"/>
        <v/>
      </c>
      <c r="J846" s="394" t="str">
        <f t="shared" si="55"/>
        <v/>
      </c>
      <c r="K846" s="394" t="str">
        <f t="shared" si="56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3"/>
        <v/>
      </c>
      <c r="I847" s="394" t="str">
        <f t="shared" si="54"/>
        <v/>
      </c>
      <c r="J847" s="394" t="str">
        <f t="shared" si="55"/>
        <v/>
      </c>
      <c r="K847" s="394" t="str">
        <f t="shared" si="56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3"/>
        <v/>
      </c>
      <c r="I848" s="394" t="str">
        <f t="shared" si="54"/>
        <v/>
      </c>
      <c r="J848" s="394" t="str">
        <f t="shared" si="55"/>
        <v/>
      </c>
      <c r="K848" s="394" t="str">
        <f t="shared" si="56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3"/>
        <v/>
      </c>
      <c r="I849" s="394" t="str">
        <f t="shared" si="54"/>
        <v/>
      </c>
      <c r="J849" s="394" t="str">
        <f t="shared" si="55"/>
        <v/>
      </c>
      <c r="K849" s="394" t="str">
        <f t="shared" si="56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3"/>
        <v/>
      </c>
      <c r="I850" s="394" t="str">
        <f t="shared" si="54"/>
        <v/>
      </c>
      <c r="J850" s="394" t="str">
        <f t="shared" si="55"/>
        <v/>
      </c>
      <c r="K850" s="394" t="str">
        <f t="shared" si="56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3"/>
        <v/>
      </c>
      <c r="I851" s="394" t="str">
        <f t="shared" si="54"/>
        <v/>
      </c>
      <c r="J851" s="394" t="str">
        <f t="shared" si="55"/>
        <v/>
      </c>
      <c r="K851" s="394" t="str">
        <f t="shared" si="56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3"/>
        <v/>
      </c>
      <c r="I852" s="394" t="str">
        <f t="shared" si="54"/>
        <v/>
      </c>
      <c r="J852" s="394" t="str">
        <f t="shared" si="55"/>
        <v/>
      </c>
      <c r="K852" s="394" t="str">
        <f t="shared" si="56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3"/>
        <v/>
      </c>
      <c r="I853" s="394" t="str">
        <f t="shared" si="54"/>
        <v/>
      </c>
      <c r="J853" s="394" t="str">
        <f t="shared" si="55"/>
        <v/>
      </c>
      <c r="K853" s="394" t="str">
        <f t="shared" si="56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3"/>
        <v/>
      </c>
      <c r="I854" s="394" t="str">
        <f t="shared" si="54"/>
        <v/>
      </c>
      <c r="J854" s="394" t="str">
        <f t="shared" si="55"/>
        <v/>
      </c>
      <c r="K854" s="394" t="str">
        <f t="shared" si="56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7">IF($C855="","",ROUND((($B$2*$F855*($B$5/1000))/$B$6)*(1+IF($B$18="",0,$B$18)),2))</f>
        <v/>
      </c>
      <c r="I855" s="394" t="str">
        <f t="shared" ref="I855:I918" si="58">IF($C855="","",ROUND((($B$3*$F855*($B$5/1000))/$B$6)*(1+IF($B$18="",0,$B$18)),2))</f>
        <v/>
      </c>
      <c r="J855" s="394" t="str">
        <f t="shared" ref="J855:J918" si="59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0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7"/>
        <v/>
      </c>
      <c r="I856" s="394" t="str">
        <f t="shared" si="58"/>
        <v/>
      </c>
      <c r="J856" s="394" t="str">
        <f t="shared" si="59"/>
        <v/>
      </c>
      <c r="K856" s="394" t="str">
        <f t="shared" si="60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7"/>
        <v/>
      </c>
      <c r="I857" s="394" t="str">
        <f t="shared" si="58"/>
        <v/>
      </c>
      <c r="J857" s="394" t="str">
        <f t="shared" si="59"/>
        <v/>
      </c>
      <c r="K857" s="394" t="str">
        <f t="shared" si="60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7"/>
        <v/>
      </c>
      <c r="I858" s="394" t="str">
        <f t="shared" si="58"/>
        <v/>
      </c>
      <c r="J858" s="394" t="str">
        <f t="shared" si="59"/>
        <v/>
      </c>
      <c r="K858" s="394" t="str">
        <f t="shared" si="60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7"/>
        <v/>
      </c>
      <c r="I859" s="394" t="str">
        <f t="shared" si="58"/>
        <v/>
      </c>
      <c r="J859" s="394" t="str">
        <f t="shared" si="59"/>
        <v/>
      </c>
      <c r="K859" s="394" t="str">
        <f t="shared" si="60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7"/>
        <v/>
      </c>
      <c r="I860" s="394" t="str">
        <f t="shared" si="58"/>
        <v/>
      </c>
      <c r="J860" s="394" t="str">
        <f t="shared" si="59"/>
        <v/>
      </c>
      <c r="K860" s="394" t="str">
        <f t="shared" si="60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7"/>
        <v/>
      </c>
      <c r="I861" s="394" t="str">
        <f t="shared" si="58"/>
        <v/>
      </c>
      <c r="J861" s="394" t="str">
        <f t="shared" si="59"/>
        <v/>
      </c>
      <c r="K861" s="394" t="str">
        <f t="shared" si="60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7"/>
        <v/>
      </c>
      <c r="I862" s="394" t="str">
        <f t="shared" si="58"/>
        <v/>
      </c>
      <c r="J862" s="394" t="str">
        <f t="shared" si="59"/>
        <v/>
      </c>
      <c r="K862" s="394" t="str">
        <f t="shared" si="60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7"/>
        <v/>
      </c>
      <c r="I863" s="394" t="str">
        <f t="shared" si="58"/>
        <v/>
      </c>
      <c r="J863" s="394" t="str">
        <f t="shared" si="59"/>
        <v/>
      </c>
      <c r="K863" s="394" t="str">
        <f t="shared" si="60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7"/>
        <v/>
      </c>
      <c r="I864" s="394" t="str">
        <f t="shared" si="58"/>
        <v/>
      </c>
      <c r="J864" s="394" t="str">
        <f t="shared" si="59"/>
        <v/>
      </c>
      <c r="K864" s="394" t="str">
        <f t="shared" si="60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7"/>
        <v/>
      </c>
      <c r="I865" s="394" t="str">
        <f t="shared" si="58"/>
        <v/>
      </c>
      <c r="J865" s="394" t="str">
        <f t="shared" si="59"/>
        <v/>
      </c>
      <c r="K865" s="394" t="str">
        <f t="shared" si="60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7"/>
        <v/>
      </c>
      <c r="I866" s="394" t="str">
        <f t="shared" si="58"/>
        <v/>
      </c>
      <c r="J866" s="394" t="str">
        <f t="shared" si="59"/>
        <v/>
      </c>
      <c r="K866" s="394" t="str">
        <f t="shared" si="60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7"/>
        <v/>
      </c>
      <c r="I867" s="394" t="str">
        <f t="shared" si="58"/>
        <v/>
      </c>
      <c r="J867" s="394" t="str">
        <f t="shared" si="59"/>
        <v/>
      </c>
      <c r="K867" s="394" t="str">
        <f t="shared" si="60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7"/>
        <v/>
      </c>
      <c r="I868" s="394" t="str">
        <f t="shared" si="58"/>
        <v/>
      </c>
      <c r="J868" s="394" t="str">
        <f t="shared" si="59"/>
        <v/>
      </c>
      <c r="K868" s="394" t="str">
        <f t="shared" si="60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7"/>
        <v/>
      </c>
      <c r="I869" s="394" t="str">
        <f t="shared" si="58"/>
        <v/>
      </c>
      <c r="J869" s="394" t="str">
        <f t="shared" si="59"/>
        <v/>
      </c>
      <c r="K869" s="394" t="str">
        <f t="shared" si="60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7"/>
        <v/>
      </c>
      <c r="I870" s="394" t="str">
        <f t="shared" si="58"/>
        <v/>
      </c>
      <c r="J870" s="394" t="str">
        <f t="shared" si="59"/>
        <v/>
      </c>
      <c r="K870" s="394" t="str">
        <f t="shared" si="60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7"/>
        <v/>
      </c>
      <c r="I871" s="394" t="str">
        <f t="shared" si="58"/>
        <v/>
      </c>
      <c r="J871" s="394" t="str">
        <f t="shared" si="59"/>
        <v/>
      </c>
      <c r="K871" s="394" t="str">
        <f t="shared" si="60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7"/>
        <v/>
      </c>
      <c r="I872" s="394" t="str">
        <f t="shared" si="58"/>
        <v/>
      </c>
      <c r="J872" s="394" t="str">
        <f t="shared" si="59"/>
        <v/>
      </c>
      <c r="K872" s="394" t="str">
        <f t="shared" si="60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7"/>
        <v/>
      </c>
      <c r="I873" s="394" t="str">
        <f t="shared" si="58"/>
        <v/>
      </c>
      <c r="J873" s="394" t="str">
        <f t="shared" si="59"/>
        <v/>
      </c>
      <c r="K873" s="394" t="str">
        <f t="shared" si="60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7"/>
        <v/>
      </c>
      <c r="I874" s="394" t="str">
        <f t="shared" si="58"/>
        <v/>
      </c>
      <c r="J874" s="394" t="str">
        <f t="shared" si="59"/>
        <v/>
      </c>
      <c r="K874" s="394" t="str">
        <f t="shared" si="60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7"/>
        <v/>
      </c>
      <c r="I875" s="394" t="str">
        <f t="shared" si="58"/>
        <v/>
      </c>
      <c r="J875" s="394" t="str">
        <f t="shared" si="59"/>
        <v/>
      </c>
      <c r="K875" s="394" t="str">
        <f t="shared" si="60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7"/>
        <v/>
      </c>
      <c r="I876" s="394" t="str">
        <f t="shared" si="58"/>
        <v/>
      </c>
      <c r="J876" s="394" t="str">
        <f t="shared" si="59"/>
        <v/>
      </c>
      <c r="K876" s="394" t="str">
        <f t="shared" si="60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7"/>
        <v/>
      </c>
      <c r="I877" s="394" t="str">
        <f t="shared" si="58"/>
        <v/>
      </c>
      <c r="J877" s="394" t="str">
        <f t="shared" si="59"/>
        <v/>
      </c>
      <c r="K877" s="394" t="str">
        <f t="shared" si="60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7"/>
        <v/>
      </c>
      <c r="I878" s="394" t="str">
        <f t="shared" si="58"/>
        <v/>
      </c>
      <c r="J878" s="394" t="str">
        <f t="shared" si="59"/>
        <v/>
      </c>
      <c r="K878" s="394" t="str">
        <f t="shared" si="60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7"/>
        <v/>
      </c>
      <c r="I879" s="394" t="str">
        <f t="shared" si="58"/>
        <v/>
      </c>
      <c r="J879" s="394" t="str">
        <f t="shared" si="59"/>
        <v/>
      </c>
      <c r="K879" s="394" t="str">
        <f t="shared" si="60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7"/>
        <v/>
      </c>
      <c r="I880" s="394" t="str">
        <f t="shared" si="58"/>
        <v/>
      </c>
      <c r="J880" s="394" t="str">
        <f t="shared" si="59"/>
        <v/>
      </c>
      <c r="K880" s="394" t="str">
        <f t="shared" si="60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7"/>
        <v/>
      </c>
      <c r="I881" s="394" t="str">
        <f t="shared" si="58"/>
        <v/>
      </c>
      <c r="J881" s="394" t="str">
        <f t="shared" si="59"/>
        <v/>
      </c>
      <c r="K881" s="394" t="str">
        <f t="shared" si="60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7"/>
        <v/>
      </c>
      <c r="I882" s="394" t="str">
        <f t="shared" si="58"/>
        <v/>
      </c>
      <c r="J882" s="394" t="str">
        <f t="shared" si="59"/>
        <v/>
      </c>
      <c r="K882" s="394" t="str">
        <f t="shared" si="60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7"/>
        <v/>
      </c>
      <c r="I883" s="394" t="str">
        <f t="shared" si="58"/>
        <v/>
      </c>
      <c r="J883" s="394" t="str">
        <f t="shared" si="59"/>
        <v/>
      </c>
      <c r="K883" s="394" t="str">
        <f t="shared" si="60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7"/>
        <v/>
      </c>
      <c r="I884" s="394" t="str">
        <f t="shared" si="58"/>
        <v/>
      </c>
      <c r="J884" s="394" t="str">
        <f t="shared" si="59"/>
        <v/>
      </c>
      <c r="K884" s="394" t="str">
        <f t="shared" si="60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7"/>
        <v/>
      </c>
      <c r="I885" s="394" t="str">
        <f t="shared" si="58"/>
        <v/>
      </c>
      <c r="J885" s="394" t="str">
        <f t="shared" si="59"/>
        <v/>
      </c>
      <c r="K885" s="394" t="str">
        <f t="shared" si="60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7"/>
        <v/>
      </c>
      <c r="I886" s="394" t="str">
        <f t="shared" si="58"/>
        <v/>
      </c>
      <c r="J886" s="394" t="str">
        <f t="shared" si="59"/>
        <v/>
      </c>
      <c r="K886" s="394" t="str">
        <f t="shared" si="60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7"/>
        <v/>
      </c>
      <c r="I887" s="394" t="str">
        <f t="shared" si="58"/>
        <v/>
      </c>
      <c r="J887" s="394" t="str">
        <f t="shared" si="59"/>
        <v/>
      </c>
      <c r="K887" s="394" t="str">
        <f t="shared" si="60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7"/>
        <v/>
      </c>
      <c r="I888" s="394" t="str">
        <f t="shared" si="58"/>
        <v/>
      </c>
      <c r="J888" s="394" t="str">
        <f t="shared" si="59"/>
        <v/>
      </c>
      <c r="K888" s="394" t="str">
        <f t="shared" si="60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7"/>
        <v/>
      </c>
      <c r="I889" s="394" t="str">
        <f t="shared" si="58"/>
        <v/>
      </c>
      <c r="J889" s="394" t="str">
        <f t="shared" si="59"/>
        <v/>
      </c>
      <c r="K889" s="394" t="str">
        <f t="shared" si="60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7"/>
        <v/>
      </c>
      <c r="I890" s="394" t="str">
        <f t="shared" si="58"/>
        <v/>
      </c>
      <c r="J890" s="394" t="str">
        <f t="shared" si="59"/>
        <v/>
      </c>
      <c r="K890" s="394" t="str">
        <f t="shared" si="60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7"/>
        <v/>
      </c>
      <c r="I891" s="394" t="str">
        <f t="shared" si="58"/>
        <v/>
      </c>
      <c r="J891" s="394" t="str">
        <f t="shared" si="59"/>
        <v/>
      </c>
      <c r="K891" s="394" t="str">
        <f t="shared" si="60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7"/>
        <v/>
      </c>
      <c r="I892" s="394" t="str">
        <f t="shared" si="58"/>
        <v/>
      </c>
      <c r="J892" s="394" t="str">
        <f t="shared" si="59"/>
        <v/>
      </c>
      <c r="K892" s="394" t="str">
        <f t="shared" si="60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7"/>
        <v/>
      </c>
      <c r="I893" s="394" t="str">
        <f t="shared" si="58"/>
        <v/>
      </c>
      <c r="J893" s="394" t="str">
        <f t="shared" si="59"/>
        <v/>
      </c>
      <c r="K893" s="394" t="str">
        <f t="shared" si="60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7"/>
        <v/>
      </c>
      <c r="I894" s="394" t="str">
        <f t="shared" si="58"/>
        <v/>
      </c>
      <c r="J894" s="394" t="str">
        <f t="shared" si="59"/>
        <v/>
      </c>
      <c r="K894" s="394" t="str">
        <f t="shared" si="60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7"/>
        <v/>
      </c>
      <c r="I895" s="394" t="str">
        <f t="shared" si="58"/>
        <v/>
      </c>
      <c r="J895" s="394" t="str">
        <f t="shared" si="59"/>
        <v/>
      </c>
      <c r="K895" s="394" t="str">
        <f t="shared" si="60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7"/>
        <v/>
      </c>
      <c r="I896" s="394" t="str">
        <f t="shared" si="58"/>
        <v/>
      </c>
      <c r="J896" s="394" t="str">
        <f t="shared" si="59"/>
        <v/>
      </c>
      <c r="K896" s="394" t="str">
        <f t="shared" si="60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7"/>
        <v/>
      </c>
      <c r="I897" s="394" t="str">
        <f t="shared" si="58"/>
        <v/>
      </c>
      <c r="J897" s="394" t="str">
        <f t="shared" si="59"/>
        <v/>
      </c>
      <c r="K897" s="394" t="str">
        <f t="shared" si="60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7"/>
        <v/>
      </c>
      <c r="I898" s="394" t="str">
        <f t="shared" si="58"/>
        <v/>
      </c>
      <c r="J898" s="394" t="str">
        <f t="shared" si="59"/>
        <v/>
      </c>
      <c r="K898" s="394" t="str">
        <f t="shared" si="60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7"/>
        <v/>
      </c>
      <c r="I899" s="394" t="str">
        <f t="shared" si="58"/>
        <v/>
      </c>
      <c r="J899" s="394" t="str">
        <f t="shared" si="59"/>
        <v/>
      </c>
      <c r="K899" s="394" t="str">
        <f t="shared" si="60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7"/>
        <v/>
      </c>
      <c r="I900" s="394" t="str">
        <f t="shared" si="58"/>
        <v/>
      </c>
      <c r="J900" s="394" t="str">
        <f t="shared" si="59"/>
        <v/>
      </c>
      <c r="K900" s="394" t="str">
        <f t="shared" si="60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7"/>
        <v/>
      </c>
      <c r="I901" s="394" t="str">
        <f t="shared" si="58"/>
        <v/>
      </c>
      <c r="J901" s="394" t="str">
        <f t="shared" si="59"/>
        <v/>
      </c>
      <c r="K901" s="394" t="str">
        <f t="shared" si="60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7"/>
        <v/>
      </c>
      <c r="I902" s="394" t="str">
        <f t="shared" si="58"/>
        <v/>
      </c>
      <c r="J902" s="394" t="str">
        <f t="shared" si="59"/>
        <v/>
      </c>
      <c r="K902" s="394" t="str">
        <f t="shared" si="60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7"/>
        <v/>
      </c>
      <c r="I903" s="394" t="str">
        <f t="shared" si="58"/>
        <v/>
      </c>
      <c r="J903" s="394" t="str">
        <f t="shared" si="59"/>
        <v/>
      </c>
      <c r="K903" s="394" t="str">
        <f t="shared" si="60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7"/>
        <v/>
      </c>
      <c r="I904" s="394" t="str">
        <f t="shared" si="58"/>
        <v/>
      </c>
      <c r="J904" s="394" t="str">
        <f t="shared" si="59"/>
        <v/>
      </c>
      <c r="K904" s="394" t="str">
        <f t="shared" si="60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7"/>
        <v/>
      </c>
      <c r="I905" s="394" t="str">
        <f t="shared" si="58"/>
        <v/>
      </c>
      <c r="J905" s="394" t="str">
        <f t="shared" si="59"/>
        <v/>
      </c>
      <c r="K905" s="394" t="str">
        <f t="shared" si="60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7"/>
        <v/>
      </c>
      <c r="I906" s="394" t="str">
        <f t="shared" si="58"/>
        <v/>
      </c>
      <c r="J906" s="394" t="str">
        <f t="shared" si="59"/>
        <v/>
      </c>
      <c r="K906" s="394" t="str">
        <f t="shared" si="60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7"/>
        <v/>
      </c>
      <c r="I907" s="394" t="str">
        <f t="shared" si="58"/>
        <v/>
      </c>
      <c r="J907" s="394" t="str">
        <f t="shared" si="59"/>
        <v/>
      </c>
      <c r="K907" s="394" t="str">
        <f t="shared" si="60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7"/>
        <v/>
      </c>
      <c r="I908" s="394" t="str">
        <f t="shared" si="58"/>
        <v/>
      </c>
      <c r="J908" s="394" t="str">
        <f t="shared" si="59"/>
        <v/>
      </c>
      <c r="K908" s="394" t="str">
        <f t="shared" si="60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7"/>
        <v/>
      </c>
      <c r="I909" s="394" t="str">
        <f t="shared" si="58"/>
        <v/>
      </c>
      <c r="J909" s="394" t="str">
        <f t="shared" si="59"/>
        <v/>
      </c>
      <c r="K909" s="394" t="str">
        <f t="shared" si="60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7"/>
        <v/>
      </c>
      <c r="I910" s="394" t="str">
        <f t="shared" si="58"/>
        <v/>
      </c>
      <c r="J910" s="394" t="str">
        <f t="shared" si="59"/>
        <v/>
      </c>
      <c r="K910" s="394" t="str">
        <f t="shared" si="60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7"/>
        <v/>
      </c>
      <c r="I911" s="394" t="str">
        <f t="shared" si="58"/>
        <v/>
      </c>
      <c r="J911" s="394" t="str">
        <f t="shared" si="59"/>
        <v/>
      </c>
      <c r="K911" s="394" t="str">
        <f t="shared" si="60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7"/>
        <v/>
      </c>
      <c r="I912" s="394" t="str">
        <f t="shared" si="58"/>
        <v/>
      </c>
      <c r="J912" s="394" t="str">
        <f t="shared" si="59"/>
        <v/>
      </c>
      <c r="K912" s="394" t="str">
        <f t="shared" si="60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7"/>
        <v/>
      </c>
      <c r="I913" s="394" t="str">
        <f t="shared" si="58"/>
        <v/>
      </c>
      <c r="J913" s="394" t="str">
        <f t="shared" si="59"/>
        <v/>
      </c>
      <c r="K913" s="394" t="str">
        <f t="shared" si="60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7"/>
        <v/>
      </c>
      <c r="I914" s="394" t="str">
        <f t="shared" si="58"/>
        <v/>
      </c>
      <c r="J914" s="394" t="str">
        <f t="shared" si="59"/>
        <v/>
      </c>
      <c r="K914" s="394" t="str">
        <f t="shared" si="60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7"/>
        <v/>
      </c>
      <c r="I915" s="394" t="str">
        <f t="shared" si="58"/>
        <v/>
      </c>
      <c r="J915" s="394" t="str">
        <f t="shared" si="59"/>
        <v/>
      </c>
      <c r="K915" s="394" t="str">
        <f t="shared" si="60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7"/>
        <v/>
      </c>
      <c r="I916" s="394" t="str">
        <f t="shared" si="58"/>
        <v/>
      </c>
      <c r="J916" s="394" t="str">
        <f t="shared" si="59"/>
        <v/>
      </c>
      <c r="K916" s="394" t="str">
        <f t="shared" si="60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7"/>
        <v/>
      </c>
      <c r="I917" s="394" t="str">
        <f t="shared" si="58"/>
        <v/>
      </c>
      <c r="J917" s="394" t="str">
        <f t="shared" si="59"/>
        <v/>
      </c>
      <c r="K917" s="394" t="str">
        <f t="shared" si="60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7"/>
        <v/>
      </c>
      <c r="I918" s="394" t="str">
        <f t="shared" si="58"/>
        <v/>
      </c>
      <c r="J918" s="394" t="str">
        <f t="shared" si="59"/>
        <v/>
      </c>
      <c r="K918" s="394" t="str">
        <f t="shared" si="60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1">IF($C919="","",ROUND((($B$2*$F919*($B$5/1000))/$B$6)*(1+IF($B$18="",0,$B$18)),2))</f>
        <v/>
      </c>
      <c r="I919" s="394" t="str">
        <f t="shared" ref="I919:I982" si="62">IF($C919="","",ROUND((($B$3*$F919*($B$5/1000))/$B$6)*(1+IF($B$18="",0,$B$18)),2))</f>
        <v/>
      </c>
      <c r="J919" s="394" t="str">
        <f t="shared" ref="J919:J982" si="63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4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1"/>
        <v/>
      </c>
      <c r="I920" s="394" t="str">
        <f t="shared" si="62"/>
        <v/>
      </c>
      <c r="J920" s="394" t="str">
        <f t="shared" si="63"/>
        <v/>
      </c>
      <c r="K920" s="394" t="str">
        <f t="shared" si="64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1"/>
        <v/>
      </c>
      <c r="I921" s="394" t="str">
        <f t="shared" si="62"/>
        <v/>
      </c>
      <c r="J921" s="394" t="str">
        <f t="shared" si="63"/>
        <v/>
      </c>
      <c r="K921" s="394" t="str">
        <f t="shared" si="64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1"/>
        <v/>
      </c>
      <c r="I922" s="394" t="str">
        <f t="shared" si="62"/>
        <v/>
      </c>
      <c r="J922" s="394" t="str">
        <f t="shared" si="63"/>
        <v/>
      </c>
      <c r="K922" s="394" t="str">
        <f t="shared" si="64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1"/>
        <v/>
      </c>
      <c r="I923" s="394" t="str">
        <f t="shared" si="62"/>
        <v/>
      </c>
      <c r="J923" s="394" t="str">
        <f t="shared" si="63"/>
        <v/>
      </c>
      <c r="K923" s="394" t="str">
        <f t="shared" si="64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1"/>
        <v/>
      </c>
      <c r="I924" s="394" t="str">
        <f t="shared" si="62"/>
        <v/>
      </c>
      <c r="J924" s="394" t="str">
        <f t="shared" si="63"/>
        <v/>
      </c>
      <c r="K924" s="394" t="str">
        <f t="shared" si="64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1"/>
        <v/>
      </c>
      <c r="I925" s="394" t="str">
        <f t="shared" si="62"/>
        <v/>
      </c>
      <c r="J925" s="394" t="str">
        <f t="shared" si="63"/>
        <v/>
      </c>
      <c r="K925" s="394" t="str">
        <f t="shared" si="64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1"/>
        <v/>
      </c>
      <c r="I926" s="394" t="str">
        <f t="shared" si="62"/>
        <v/>
      </c>
      <c r="J926" s="394" t="str">
        <f t="shared" si="63"/>
        <v/>
      </c>
      <c r="K926" s="394" t="str">
        <f t="shared" si="64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1"/>
        <v/>
      </c>
      <c r="I927" s="394" t="str">
        <f t="shared" si="62"/>
        <v/>
      </c>
      <c r="J927" s="394" t="str">
        <f t="shared" si="63"/>
        <v/>
      </c>
      <c r="K927" s="394" t="str">
        <f t="shared" si="64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1"/>
        <v/>
      </c>
      <c r="I928" s="394" t="str">
        <f t="shared" si="62"/>
        <v/>
      </c>
      <c r="J928" s="394" t="str">
        <f t="shared" si="63"/>
        <v/>
      </c>
      <c r="K928" s="394" t="str">
        <f t="shared" si="64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1"/>
        <v/>
      </c>
      <c r="I929" s="394" t="str">
        <f t="shared" si="62"/>
        <v/>
      </c>
      <c r="J929" s="394" t="str">
        <f t="shared" si="63"/>
        <v/>
      </c>
      <c r="K929" s="394" t="str">
        <f t="shared" si="64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1"/>
        <v/>
      </c>
      <c r="I930" s="394" t="str">
        <f t="shared" si="62"/>
        <v/>
      </c>
      <c r="J930" s="394" t="str">
        <f t="shared" si="63"/>
        <v/>
      </c>
      <c r="K930" s="394" t="str">
        <f t="shared" si="64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1"/>
        <v/>
      </c>
      <c r="I931" s="394" t="str">
        <f t="shared" si="62"/>
        <v/>
      </c>
      <c r="J931" s="394" t="str">
        <f t="shared" si="63"/>
        <v/>
      </c>
      <c r="K931" s="394" t="str">
        <f t="shared" si="64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1"/>
        <v/>
      </c>
      <c r="I932" s="394" t="str">
        <f t="shared" si="62"/>
        <v/>
      </c>
      <c r="J932" s="394" t="str">
        <f t="shared" si="63"/>
        <v/>
      </c>
      <c r="K932" s="394" t="str">
        <f t="shared" si="64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1"/>
        <v/>
      </c>
      <c r="I933" s="394" t="str">
        <f t="shared" si="62"/>
        <v/>
      </c>
      <c r="J933" s="394" t="str">
        <f t="shared" si="63"/>
        <v/>
      </c>
      <c r="K933" s="394" t="str">
        <f t="shared" si="64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1"/>
        <v/>
      </c>
      <c r="I934" s="394" t="str">
        <f t="shared" si="62"/>
        <v/>
      </c>
      <c r="J934" s="394" t="str">
        <f t="shared" si="63"/>
        <v/>
      </c>
      <c r="K934" s="394" t="str">
        <f t="shared" si="64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1"/>
        <v/>
      </c>
      <c r="I935" s="394" t="str">
        <f t="shared" si="62"/>
        <v/>
      </c>
      <c r="J935" s="394" t="str">
        <f t="shared" si="63"/>
        <v/>
      </c>
      <c r="K935" s="394" t="str">
        <f t="shared" si="64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1"/>
        <v/>
      </c>
      <c r="I936" s="394" t="str">
        <f t="shared" si="62"/>
        <v/>
      </c>
      <c r="J936" s="394" t="str">
        <f t="shared" si="63"/>
        <v/>
      </c>
      <c r="K936" s="394" t="str">
        <f t="shared" si="64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1"/>
        <v/>
      </c>
      <c r="I937" s="394" t="str">
        <f t="shared" si="62"/>
        <v/>
      </c>
      <c r="J937" s="394" t="str">
        <f t="shared" si="63"/>
        <v/>
      </c>
      <c r="K937" s="394" t="str">
        <f t="shared" si="64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1"/>
        <v/>
      </c>
      <c r="I938" s="394" t="str">
        <f t="shared" si="62"/>
        <v/>
      </c>
      <c r="J938" s="394" t="str">
        <f t="shared" si="63"/>
        <v/>
      </c>
      <c r="K938" s="394" t="str">
        <f t="shared" si="64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1"/>
        <v/>
      </c>
      <c r="I939" s="394" t="str">
        <f t="shared" si="62"/>
        <v/>
      </c>
      <c r="J939" s="394" t="str">
        <f t="shared" si="63"/>
        <v/>
      </c>
      <c r="K939" s="394" t="str">
        <f t="shared" si="64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1"/>
        <v/>
      </c>
      <c r="I940" s="394" t="str">
        <f t="shared" si="62"/>
        <v/>
      </c>
      <c r="J940" s="394" t="str">
        <f t="shared" si="63"/>
        <v/>
      </c>
      <c r="K940" s="394" t="str">
        <f t="shared" si="64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1"/>
        <v/>
      </c>
      <c r="I941" s="394" t="str">
        <f t="shared" si="62"/>
        <v/>
      </c>
      <c r="J941" s="394" t="str">
        <f t="shared" si="63"/>
        <v/>
      </c>
      <c r="K941" s="394" t="str">
        <f t="shared" si="64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1"/>
        <v/>
      </c>
      <c r="I942" s="394" t="str">
        <f t="shared" si="62"/>
        <v/>
      </c>
      <c r="J942" s="394" t="str">
        <f t="shared" si="63"/>
        <v/>
      </c>
      <c r="K942" s="394" t="str">
        <f t="shared" si="64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1"/>
        <v/>
      </c>
      <c r="I943" s="394" t="str">
        <f t="shared" si="62"/>
        <v/>
      </c>
      <c r="J943" s="394" t="str">
        <f t="shared" si="63"/>
        <v/>
      </c>
      <c r="K943" s="394" t="str">
        <f t="shared" si="64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1"/>
        <v/>
      </c>
      <c r="I944" s="394" t="str">
        <f t="shared" si="62"/>
        <v/>
      </c>
      <c r="J944" s="394" t="str">
        <f t="shared" si="63"/>
        <v/>
      </c>
      <c r="K944" s="394" t="str">
        <f t="shared" si="64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1"/>
        <v/>
      </c>
      <c r="I945" s="394" t="str">
        <f t="shared" si="62"/>
        <v/>
      </c>
      <c r="J945" s="394" t="str">
        <f t="shared" si="63"/>
        <v/>
      </c>
      <c r="K945" s="394" t="str">
        <f t="shared" si="64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1"/>
        <v/>
      </c>
      <c r="I946" s="394" t="str">
        <f t="shared" si="62"/>
        <v/>
      </c>
      <c r="J946" s="394" t="str">
        <f t="shared" si="63"/>
        <v/>
      </c>
      <c r="K946" s="394" t="str">
        <f t="shared" si="64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1"/>
        <v/>
      </c>
      <c r="I947" s="394" t="str">
        <f t="shared" si="62"/>
        <v/>
      </c>
      <c r="J947" s="394" t="str">
        <f t="shared" si="63"/>
        <v/>
      </c>
      <c r="K947" s="394" t="str">
        <f t="shared" si="64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1"/>
        <v/>
      </c>
      <c r="I948" s="394" t="str">
        <f t="shared" si="62"/>
        <v/>
      </c>
      <c r="J948" s="394" t="str">
        <f t="shared" si="63"/>
        <v/>
      </c>
      <c r="K948" s="394" t="str">
        <f t="shared" si="64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1"/>
        <v/>
      </c>
      <c r="I949" s="394" t="str">
        <f t="shared" si="62"/>
        <v/>
      </c>
      <c r="J949" s="394" t="str">
        <f t="shared" si="63"/>
        <v/>
      </c>
      <c r="K949" s="394" t="str">
        <f t="shared" si="64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1"/>
        <v/>
      </c>
      <c r="I950" s="394" t="str">
        <f t="shared" si="62"/>
        <v/>
      </c>
      <c r="J950" s="394" t="str">
        <f t="shared" si="63"/>
        <v/>
      </c>
      <c r="K950" s="394" t="str">
        <f t="shared" si="64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1"/>
        <v/>
      </c>
      <c r="I951" s="394" t="str">
        <f t="shared" si="62"/>
        <v/>
      </c>
      <c r="J951" s="394" t="str">
        <f t="shared" si="63"/>
        <v/>
      </c>
      <c r="K951" s="394" t="str">
        <f t="shared" si="64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1"/>
        <v/>
      </c>
      <c r="I952" s="394" t="str">
        <f t="shared" si="62"/>
        <v/>
      </c>
      <c r="J952" s="394" t="str">
        <f t="shared" si="63"/>
        <v/>
      </c>
      <c r="K952" s="394" t="str">
        <f t="shared" si="64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1"/>
        <v/>
      </c>
      <c r="I953" s="394" t="str">
        <f t="shared" si="62"/>
        <v/>
      </c>
      <c r="J953" s="394" t="str">
        <f t="shared" si="63"/>
        <v/>
      </c>
      <c r="K953" s="394" t="str">
        <f t="shared" si="64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1"/>
        <v/>
      </c>
      <c r="I954" s="394" t="str">
        <f t="shared" si="62"/>
        <v/>
      </c>
      <c r="J954" s="394" t="str">
        <f t="shared" si="63"/>
        <v/>
      </c>
      <c r="K954" s="394" t="str">
        <f t="shared" si="64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1"/>
        <v/>
      </c>
      <c r="I955" s="394" t="str">
        <f t="shared" si="62"/>
        <v/>
      </c>
      <c r="J955" s="394" t="str">
        <f t="shared" si="63"/>
        <v/>
      </c>
      <c r="K955" s="394" t="str">
        <f t="shared" si="64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1"/>
        <v/>
      </c>
      <c r="I956" s="394" t="str">
        <f t="shared" si="62"/>
        <v/>
      </c>
      <c r="J956" s="394" t="str">
        <f t="shared" si="63"/>
        <v/>
      </c>
      <c r="K956" s="394" t="str">
        <f t="shared" si="64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1"/>
        <v/>
      </c>
      <c r="I957" s="394" t="str">
        <f t="shared" si="62"/>
        <v/>
      </c>
      <c r="J957" s="394" t="str">
        <f t="shared" si="63"/>
        <v/>
      </c>
      <c r="K957" s="394" t="str">
        <f t="shared" si="64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1"/>
        <v/>
      </c>
      <c r="I958" s="394" t="str">
        <f t="shared" si="62"/>
        <v/>
      </c>
      <c r="J958" s="394" t="str">
        <f t="shared" si="63"/>
        <v/>
      </c>
      <c r="K958" s="394" t="str">
        <f t="shared" si="64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1"/>
        <v/>
      </c>
      <c r="I959" s="394" t="str">
        <f t="shared" si="62"/>
        <v/>
      </c>
      <c r="J959" s="394" t="str">
        <f t="shared" si="63"/>
        <v/>
      </c>
      <c r="K959" s="394" t="str">
        <f t="shared" si="64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1"/>
        <v/>
      </c>
      <c r="I960" s="394" t="str">
        <f t="shared" si="62"/>
        <v/>
      </c>
      <c r="J960" s="394" t="str">
        <f t="shared" si="63"/>
        <v/>
      </c>
      <c r="K960" s="394" t="str">
        <f t="shared" si="64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1"/>
        <v/>
      </c>
      <c r="I961" s="394" t="str">
        <f t="shared" si="62"/>
        <v/>
      </c>
      <c r="J961" s="394" t="str">
        <f t="shared" si="63"/>
        <v/>
      </c>
      <c r="K961" s="394" t="str">
        <f t="shared" si="64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1"/>
        <v/>
      </c>
      <c r="I962" s="394" t="str">
        <f t="shared" si="62"/>
        <v/>
      </c>
      <c r="J962" s="394" t="str">
        <f t="shared" si="63"/>
        <v/>
      </c>
      <c r="K962" s="394" t="str">
        <f t="shared" si="64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1"/>
        <v/>
      </c>
      <c r="I963" s="394" t="str">
        <f t="shared" si="62"/>
        <v/>
      </c>
      <c r="J963" s="394" t="str">
        <f t="shared" si="63"/>
        <v/>
      </c>
      <c r="K963" s="394" t="str">
        <f t="shared" si="64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1"/>
        <v/>
      </c>
      <c r="I964" s="394" t="str">
        <f t="shared" si="62"/>
        <v/>
      </c>
      <c r="J964" s="394" t="str">
        <f t="shared" si="63"/>
        <v/>
      </c>
      <c r="K964" s="394" t="str">
        <f t="shared" si="64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1"/>
        <v/>
      </c>
      <c r="I965" s="394" t="str">
        <f t="shared" si="62"/>
        <v/>
      </c>
      <c r="J965" s="394" t="str">
        <f t="shared" si="63"/>
        <v/>
      </c>
      <c r="K965" s="394" t="str">
        <f t="shared" si="64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1"/>
        <v/>
      </c>
      <c r="I966" s="394" t="str">
        <f t="shared" si="62"/>
        <v/>
      </c>
      <c r="J966" s="394" t="str">
        <f t="shared" si="63"/>
        <v/>
      </c>
      <c r="K966" s="394" t="str">
        <f t="shared" si="64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1"/>
        <v/>
      </c>
      <c r="I967" s="394" t="str">
        <f t="shared" si="62"/>
        <v/>
      </c>
      <c r="J967" s="394" t="str">
        <f t="shared" si="63"/>
        <v/>
      </c>
      <c r="K967" s="394" t="str">
        <f t="shared" si="64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1"/>
        <v/>
      </c>
      <c r="I968" s="394" t="str">
        <f t="shared" si="62"/>
        <v/>
      </c>
      <c r="J968" s="394" t="str">
        <f t="shared" si="63"/>
        <v/>
      </c>
      <c r="K968" s="394" t="str">
        <f t="shared" si="64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1"/>
        <v/>
      </c>
      <c r="I969" s="394" t="str">
        <f t="shared" si="62"/>
        <v/>
      </c>
      <c r="J969" s="394" t="str">
        <f t="shared" si="63"/>
        <v/>
      </c>
      <c r="K969" s="394" t="str">
        <f t="shared" si="64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1"/>
        <v/>
      </c>
      <c r="I970" s="394" t="str">
        <f t="shared" si="62"/>
        <v/>
      </c>
      <c r="J970" s="394" t="str">
        <f t="shared" si="63"/>
        <v/>
      </c>
      <c r="K970" s="394" t="str">
        <f t="shared" si="64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1"/>
        <v/>
      </c>
      <c r="I971" s="394" t="str">
        <f t="shared" si="62"/>
        <v/>
      </c>
      <c r="J971" s="394" t="str">
        <f t="shared" si="63"/>
        <v/>
      </c>
      <c r="K971" s="394" t="str">
        <f t="shared" si="64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1"/>
        <v/>
      </c>
      <c r="I972" s="394" t="str">
        <f t="shared" si="62"/>
        <v/>
      </c>
      <c r="J972" s="394" t="str">
        <f t="shared" si="63"/>
        <v/>
      </c>
      <c r="K972" s="394" t="str">
        <f t="shared" si="64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1"/>
        <v/>
      </c>
      <c r="I973" s="394" t="str">
        <f t="shared" si="62"/>
        <v/>
      </c>
      <c r="J973" s="394" t="str">
        <f t="shared" si="63"/>
        <v/>
      </c>
      <c r="K973" s="394" t="str">
        <f t="shared" si="64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1"/>
        <v/>
      </c>
      <c r="I974" s="394" t="str">
        <f t="shared" si="62"/>
        <v/>
      </c>
      <c r="J974" s="394" t="str">
        <f t="shared" si="63"/>
        <v/>
      </c>
      <c r="K974" s="394" t="str">
        <f t="shared" si="64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1"/>
        <v/>
      </c>
      <c r="I975" s="394" t="str">
        <f t="shared" si="62"/>
        <v/>
      </c>
      <c r="J975" s="394" t="str">
        <f t="shared" si="63"/>
        <v/>
      </c>
      <c r="K975" s="394" t="str">
        <f t="shared" si="64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1"/>
        <v/>
      </c>
      <c r="I976" s="394" t="str">
        <f t="shared" si="62"/>
        <v/>
      </c>
      <c r="J976" s="394" t="str">
        <f t="shared" si="63"/>
        <v/>
      </c>
      <c r="K976" s="394" t="str">
        <f t="shared" si="64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1"/>
        <v/>
      </c>
      <c r="I977" s="394" t="str">
        <f t="shared" si="62"/>
        <v/>
      </c>
      <c r="J977" s="394" t="str">
        <f t="shared" si="63"/>
        <v/>
      </c>
      <c r="K977" s="394" t="str">
        <f t="shared" si="64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1"/>
        <v/>
      </c>
      <c r="I978" s="394" t="str">
        <f t="shared" si="62"/>
        <v/>
      </c>
      <c r="J978" s="394" t="str">
        <f t="shared" si="63"/>
        <v/>
      </c>
      <c r="K978" s="394" t="str">
        <f t="shared" si="64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1"/>
        <v/>
      </c>
      <c r="I979" s="394" t="str">
        <f t="shared" si="62"/>
        <v/>
      </c>
      <c r="J979" s="394" t="str">
        <f t="shared" si="63"/>
        <v/>
      </c>
      <c r="K979" s="394" t="str">
        <f t="shared" si="64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1"/>
        <v/>
      </c>
      <c r="I980" s="394" t="str">
        <f t="shared" si="62"/>
        <v/>
      </c>
      <c r="J980" s="394" t="str">
        <f t="shared" si="63"/>
        <v/>
      </c>
      <c r="K980" s="394" t="str">
        <f t="shared" si="64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1"/>
        <v/>
      </c>
      <c r="I981" s="394" t="str">
        <f t="shared" si="62"/>
        <v/>
      </c>
      <c r="J981" s="394" t="str">
        <f t="shared" si="63"/>
        <v/>
      </c>
      <c r="K981" s="394" t="str">
        <f t="shared" si="64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1"/>
        <v/>
      </c>
      <c r="I982" s="394" t="str">
        <f t="shared" si="62"/>
        <v/>
      </c>
      <c r="J982" s="394" t="str">
        <f t="shared" si="63"/>
        <v/>
      </c>
      <c r="K982" s="394" t="str">
        <f t="shared" si="64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5">IF($C983="","",ROUND((($B$2*$F983*($B$5/1000))/$B$6)*(1+IF($B$18="",0,$B$18)),2))</f>
        <v/>
      </c>
      <c r="I983" s="394" t="str">
        <f t="shared" ref="I983:I1000" si="66">IF($C983="","",ROUND((($B$3*$F983*($B$5/1000))/$B$6)*(1+IF($B$18="",0,$B$18)),2))</f>
        <v/>
      </c>
      <c r="J983" s="394" t="str">
        <f t="shared" ref="J983:J1000" si="67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8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5"/>
        <v/>
      </c>
      <c r="I984" s="394" t="str">
        <f t="shared" si="66"/>
        <v/>
      </c>
      <c r="J984" s="394" t="str">
        <f t="shared" si="67"/>
        <v/>
      </c>
      <c r="K984" s="394" t="str">
        <f t="shared" si="68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5"/>
        <v/>
      </c>
      <c r="I985" s="394" t="str">
        <f t="shared" si="66"/>
        <v/>
      </c>
      <c r="J985" s="394" t="str">
        <f t="shared" si="67"/>
        <v/>
      </c>
      <c r="K985" s="394" t="str">
        <f t="shared" si="68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5"/>
        <v/>
      </c>
      <c r="I986" s="394" t="str">
        <f t="shared" si="66"/>
        <v/>
      </c>
      <c r="J986" s="394" t="str">
        <f t="shared" si="67"/>
        <v/>
      </c>
      <c r="K986" s="394" t="str">
        <f t="shared" si="68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5"/>
        <v/>
      </c>
      <c r="I987" s="394" t="str">
        <f t="shared" si="66"/>
        <v/>
      </c>
      <c r="J987" s="394" t="str">
        <f t="shared" si="67"/>
        <v/>
      </c>
      <c r="K987" s="394" t="str">
        <f t="shared" si="68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5"/>
        <v/>
      </c>
      <c r="I988" s="394" t="str">
        <f t="shared" si="66"/>
        <v/>
      </c>
      <c r="J988" s="394" t="str">
        <f t="shared" si="67"/>
        <v/>
      </c>
      <c r="K988" s="394" t="str">
        <f t="shared" si="68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5"/>
        <v/>
      </c>
      <c r="I989" s="394" t="str">
        <f t="shared" si="66"/>
        <v/>
      </c>
      <c r="J989" s="394" t="str">
        <f t="shared" si="67"/>
        <v/>
      </c>
      <c r="K989" s="394" t="str">
        <f t="shared" si="68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5"/>
        <v/>
      </c>
      <c r="I990" s="394" t="str">
        <f t="shared" si="66"/>
        <v/>
      </c>
      <c r="J990" s="394" t="str">
        <f t="shared" si="67"/>
        <v/>
      </c>
      <c r="K990" s="394" t="str">
        <f t="shared" si="68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5"/>
        <v/>
      </c>
      <c r="I991" s="394" t="str">
        <f t="shared" si="66"/>
        <v/>
      </c>
      <c r="J991" s="394" t="str">
        <f t="shared" si="67"/>
        <v/>
      </c>
      <c r="K991" s="394" t="str">
        <f t="shared" si="68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5"/>
        <v/>
      </c>
      <c r="I992" s="394" t="str">
        <f t="shared" si="66"/>
        <v/>
      </c>
      <c r="J992" s="394" t="str">
        <f t="shared" si="67"/>
        <v/>
      </c>
      <c r="K992" s="394" t="str">
        <f t="shared" si="68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5"/>
        <v/>
      </c>
      <c r="I993" s="394" t="str">
        <f t="shared" si="66"/>
        <v/>
      </c>
      <c r="J993" s="394" t="str">
        <f t="shared" si="67"/>
        <v/>
      </c>
      <c r="K993" s="394" t="str">
        <f t="shared" si="68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5"/>
        <v/>
      </c>
      <c r="I994" s="394" t="str">
        <f t="shared" si="66"/>
        <v/>
      </c>
      <c r="J994" s="394" t="str">
        <f t="shared" si="67"/>
        <v/>
      </c>
      <c r="K994" s="394" t="str">
        <f t="shared" si="68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5"/>
        <v/>
      </c>
      <c r="I995" s="394" t="str">
        <f t="shared" si="66"/>
        <v/>
      </c>
      <c r="J995" s="394" t="str">
        <f t="shared" si="67"/>
        <v/>
      </c>
      <c r="K995" s="394" t="str">
        <f t="shared" si="68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5"/>
        <v/>
      </c>
      <c r="I996" s="394" t="str">
        <f t="shared" si="66"/>
        <v/>
      </c>
      <c r="J996" s="394" t="str">
        <f t="shared" si="67"/>
        <v/>
      </c>
      <c r="K996" s="394" t="str">
        <f t="shared" si="68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5"/>
        <v/>
      </c>
      <c r="I997" s="394" t="str">
        <f t="shared" si="66"/>
        <v/>
      </c>
      <c r="J997" s="394" t="str">
        <f t="shared" si="67"/>
        <v/>
      </c>
      <c r="K997" s="394" t="str">
        <f t="shared" si="68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5"/>
        <v/>
      </c>
      <c r="I998" s="394" t="str">
        <f t="shared" si="66"/>
        <v/>
      </c>
      <c r="J998" s="394" t="str">
        <f t="shared" si="67"/>
        <v/>
      </c>
      <c r="K998" s="394" t="str">
        <f t="shared" si="68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5"/>
        <v/>
      </c>
      <c r="I999" s="394" t="str">
        <f t="shared" si="66"/>
        <v/>
      </c>
      <c r="J999" s="394" t="str">
        <f t="shared" si="67"/>
        <v/>
      </c>
      <c r="K999" s="394" t="str">
        <f t="shared" si="68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5"/>
        <v/>
      </c>
      <c r="I1000" s="394" t="str">
        <f t="shared" si="66"/>
        <v/>
      </c>
      <c r="J1000" s="394" t="str">
        <f t="shared" si="67"/>
        <v/>
      </c>
      <c r="K1000" s="394" t="str">
        <f t="shared" si="68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U1001" s="403"/>
      <c r="V1001" s="416"/>
      <c r="Z1001" s="403"/>
      <c r="AA1001" s="403"/>
    </row>
    <row r="1005" spans="1:27" x14ac:dyDescent="0.25">
      <c r="H1005" s="394">
        <f t="shared" ref="H1005:H1029" si="69">IF($C27="","",ROUND(($B$2*$F27*($B$5/1000))/$B$6,2))</f>
        <v>1.32</v>
      </c>
      <c r="I1005" s="394">
        <f t="shared" ref="I1005:I1029" si="70">IF($C27="","",ROUND(($B$3*$F27*($B$5/1000))/$B$6,2))</f>
        <v>1.48</v>
      </c>
      <c r="J1005" s="394">
        <f t="shared" ref="J1005:J1029" si="71">IF(OR($C27="",$B$9="",$B$15=""),"",ROUND(((((IF($B$15="N/A",$B$2,$B$4))*$F27*($B$5/1000))+((($G27/1000)*($B$5/1000)*10.7639104)*(IF($B$9="Smooth",$B$10,IF($B$9="Sand",$B$11,0)))))*(1+$B$17))/$B$8,2))</f>
        <v>1.93</v>
      </c>
      <c r="K1005" s="394">
        <f t="shared" ref="K1005:K1029" si="72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4">
        <f t="shared" si="69"/>
        <v>2.4500000000000002</v>
      </c>
      <c r="I1006" s="394">
        <f t="shared" si="70"/>
        <v>2.73</v>
      </c>
      <c r="J1006" s="394">
        <f t="shared" si="71"/>
        <v>3.01</v>
      </c>
      <c r="K1006" s="394">
        <f t="shared" si="72"/>
        <v>4.6500000000000004</v>
      </c>
    </row>
    <row r="1007" spans="1:27" x14ac:dyDescent="0.25">
      <c r="H1007" s="394">
        <f t="shared" si="69"/>
        <v>1.89</v>
      </c>
      <c r="I1007" s="394">
        <f t="shared" si="70"/>
        <v>2.12</v>
      </c>
      <c r="J1007" s="394">
        <f t="shared" si="71"/>
        <v>2.5499999999999998</v>
      </c>
      <c r="K1007" s="394">
        <f t="shared" si="72"/>
        <v>4.34</v>
      </c>
    </row>
    <row r="1008" spans="1:27" x14ac:dyDescent="0.25">
      <c r="H1008" s="394">
        <f t="shared" si="69"/>
        <v>3.28</v>
      </c>
      <c r="I1008" s="394">
        <f t="shared" si="70"/>
        <v>3.67</v>
      </c>
      <c r="J1008" s="394">
        <f t="shared" si="71"/>
        <v>4.04</v>
      </c>
      <c r="K1008" s="394">
        <f t="shared" si="72"/>
        <v>6.22</v>
      </c>
    </row>
    <row r="1009" spans="8:11" x14ac:dyDescent="0.25">
      <c r="H1009" s="394">
        <f t="shared" si="69"/>
        <v>2.21</v>
      </c>
      <c r="I1009" s="394">
        <f t="shared" si="70"/>
        <v>2.4700000000000002</v>
      </c>
      <c r="J1009" s="394">
        <f t="shared" si="71"/>
        <v>3.15</v>
      </c>
      <c r="K1009" s="394">
        <f t="shared" si="72"/>
        <v>5.64</v>
      </c>
    </row>
    <row r="1010" spans="8:11" x14ac:dyDescent="0.25">
      <c r="H1010" s="394">
        <f t="shared" si="69"/>
        <v>4.68</v>
      </c>
      <c r="I1010" s="394">
        <f t="shared" si="70"/>
        <v>5.23</v>
      </c>
      <c r="J1010" s="394">
        <f t="shared" si="71"/>
        <v>5.52</v>
      </c>
      <c r="K1010" s="394">
        <f t="shared" si="72"/>
        <v>8.07</v>
      </c>
    </row>
    <row r="1011" spans="8:11" x14ac:dyDescent="0.25">
      <c r="H1011" s="394">
        <f t="shared" si="69"/>
        <v>3.38</v>
      </c>
      <c r="I1011" s="394">
        <f t="shared" si="70"/>
        <v>3.78</v>
      </c>
      <c r="J1011" s="394">
        <f t="shared" si="71"/>
        <v>4.34</v>
      </c>
      <c r="K1011" s="394">
        <f t="shared" si="72"/>
        <v>7.02</v>
      </c>
    </row>
    <row r="1012" spans="8:11" x14ac:dyDescent="0.25">
      <c r="H1012" s="394">
        <f t="shared" si="69"/>
        <v>5.25</v>
      </c>
      <c r="I1012" s="394">
        <f t="shared" si="70"/>
        <v>5.86</v>
      </c>
      <c r="J1012" s="394">
        <f t="shared" si="71"/>
        <v>6.19</v>
      </c>
      <c r="K1012" s="394">
        <f t="shared" si="72"/>
        <v>9.0399999999999991</v>
      </c>
    </row>
    <row r="1013" spans="8:11" x14ac:dyDescent="0.25">
      <c r="H1013" s="394">
        <f t="shared" si="69"/>
        <v>3.54</v>
      </c>
      <c r="I1013" s="394">
        <f t="shared" si="70"/>
        <v>3.95</v>
      </c>
      <c r="J1013" s="394">
        <f t="shared" si="71"/>
        <v>4.57</v>
      </c>
      <c r="K1013" s="394">
        <f t="shared" si="72"/>
        <v>7.43</v>
      </c>
    </row>
    <row r="1014" spans="8:11" x14ac:dyDescent="0.25">
      <c r="H1014" s="394">
        <f t="shared" si="69"/>
        <v>5.89</v>
      </c>
      <c r="I1014" s="394">
        <f t="shared" si="70"/>
        <v>6.58</v>
      </c>
      <c r="J1014" s="394">
        <f t="shared" si="71"/>
        <v>6.86</v>
      </c>
      <c r="K1014" s="394">
        <f t="shared" si="72"/>
        <v>9.8699999999999992</v>
      </c>
    </row>
    <row r="1015" spans="8:11" x14ac:dyDescent="0.25">
      <c r="H1015" s="394">
        <f t="shared" si="69"/>
        <v>3.06</v>
      </c>
      <c r="I1015" s="394">
        <f t="shared" si="70"/>
        <v>3.42</v>
      </c>
      <c r="J1015" s="394">
        <f t="shared" si="71"/>
        <v>4.22</v>
      </c>
      <c r="K1015" s="394">
        <f t="shared" si="72"/>
        <v>7.34</v>
      </c>
    </row>
    <row r="1016" spans="8:11" x14ac:dyDescent="0.25">
      <c r="H1016" s="394">
        <f t="shared" si="69"/>
        <v>6.6</v>
      </c>
      <c r="I1016" s="394">
        <f t="shared" si="70"/>
        <v>7.38</v>
      </c>
      <c r="J1016" s="394">
        <f t="shared" si="71"/>
        <v>7.72</v>
      </c>
      <c r="K1016" s="394">
        <f t="shared" si="72"/>
        <v>11.14</v>
      </c>
    </row>
    <row r="1017" spans="8:11" x14ac:dyDescent="0.25">
      <c r="H1017" s="394">
        <f t="shared" si="69"/>
        <v>7.5</v>
      </c>
      <c r="I1017" s="394">
        <f t="shared" si="70"/>
        <v>8.3800000000000008</v>
      </c>
      <c r="J1017" s="394">
        <f t="shared" si="71"/>
        <v>8.6300000000000008</v>
      </c>
      <c r="K1017" s="394">
        <f t="shared" si="72"/>
        <v>12.18</v>
      </c>
    </row>
    <row r="1018" spans="8:11" x14ac:dyDescent="0.25">
      <c r="H1018" s="394">
        <f t="shared" si="69"/>
        <v>3.48</v>
      </c>
      <c r="I1018" s="394">
        <f t="shared" si="70"/>
        <v>3.89</v>
      </c>
      <c r="J1018" s="394">
        <f t="shared" si="71"/>
        <v>4.82</v>
      </c>
      <c r="K1018" s="394">
        <f t="shared" si="72"/>
        <v>8.4</v>
      </c>
    </row>
    <row r="1019" spans="8:11" x14ac:dyDescent="0.25">
      <c r="H1019" s="394">
        <f t="shared" si="69"/>
        <v>3.25</v>
      </c>
      <c r="I1019" s="394">
        <f t="shared" si="70"/>
        <v>3.63</v>
      </c>
      <c r="J1019" s="394">
        <f t="shared" si="71"/>
        <v>4.63</v>
      </c>
      <c r="K1019" s="394">
        <f t="shared" si="72"/>
        <v>8.31</v>
      </c>
    </row>
    <row r="1020" spans="8:11" x14ac:dyDescent="0.25">
      <c r="H1020" s="394">
        <f t="shared" si="69"/>
        <v>9.09</v>
      </c>
      <c r="I1020" s="394">
        <f t="shared" si="70"/>
        <v>10.16</v>
      </c>
      <c r="J1020" s="394">
        <f t="shared" si="71"/>
        <v>10.199999999999999</v>
      </c>
      <c r="K1020" s="394">
        <f t="shared" si="72"/>
        <v>13.9</v>
      </c>
    </row>
    <row r="1021" spans="8:11" x14ac:dyDescent="0.25">
      <c r="H1021" s="394">
        <f t="shared" si="69"/>
        <v>8.25</v>
      </c>
      <c r="I1021" s="394">
        <f t="shared" si="70"/>
        <v>9.2200000000000006</v>
      </c>
      <c r="J1021" s="394">
        <f t="shared" si="71"/>
        <v>9.52</v>
      </c>
      <c r="K1021" s="394">
        <f t="shared" si="72"/>
        <v>13.48</v>
      </c>
    </row>
    <row r="1022" spans="8:11" x14ac:dyDescent="0.25">
      <c r="H1022" s="394">
        <f t="shared" si="69"/>
        <v>10.16</v>
      </c>
      <c r="I1022" s="394">
        <f t="shared" si="70"/>
        <v>11.35</v>
      </c>
      <c r="J1022" s="394">
        <f t="shared" si="71"/>
        <v>11.39</v>
      </c>
      <c r="K1022" s="394">
        <f t="shared" si="72"/>
        <v>15.49</v>
      </c>
    </row>
    <row r="1023" spans="8:11" x14ac:dyDescent="0.25">
      <c r="H1023" s="394">
        <f t="shared" si="69"/>
        <v>4.28</v>
      </c>
      <c r="I1023" s="394">
        <f t="shared" si="70"/>
        <v>4.79</v>
      </c>
      <c r="J1023" s="394">
        <f t="shared" si="71"/>
        <v>5.84</v>
      </c>
      <c r="K1023" s="394">
        <f t="shared" si="72"/>
        <v>10.039999999999999</v>
      </c>
    </row>
    <row r="1024" spans="8:11" x14ac:dyDescent="0.25">
      <c r="H1024" s="394">
        <f t="shared" si="69"/>
        <v>4.8099999999999996</v>
      </c>
      <c r="I1024" s="394">
        <f t="shared" si="70"/>
        <v>5.38</v>
      </c>
      <c r="J1024" s="394">
        <f t="shared" si="71"/>
        <v>6.56</v>
      </c>
      <c r="K1024" s="394">
        <f t="shared" si="72"/>
        <v>11.28</v>
      </c>
    </row>
    <row r="1025" spans="8:11" x14ac:dyDescent="0.25">
      <c r="H1025" s="394">
        <f t="shared" si="69"/>
        <v>5.46</v>
      </c>
      <c r="I1025" s="394">
        <f t="shared" si="70"/>
        <v>6.1</v>
      </c>
      <c r="J1025" s="394">
        <f t="shared" si="71"/>
        <v>7.28</v>
      </c>
      <c r="K1025" s="394">
        <f t="shared" si="72"/>
        <v>12.27</v>
      </c>
    </row>
    <row r="1026" spans="8:11" x14ac:dyDescent="0.25">
      <c r="H1026" s="394">
        <f t="shared" si="69"/>
        <v>6.02</v>
      </c>
      <c r="I1026" s="394">
        <f t="shared" si="70"/>
        <v>6.72</v>
      </c>
      <c r="J1026" s="394">
        <f t="shared" si="71"/>
        <v>8.0399999999999991</v>
      </c>
      <c r="K1026" s="394">
        <f t="shared" si="72"/>
        <v>13.55</v>
      </c>
    </row>
    <row r="1027" spans="8:11" x14ac:dyDescent="0.25">
      <c r="H1027" s="394">
        <f t="shared" si="69"/>
        <v>18.04</v>
      </c>
      <c r="I1027" s="394">
        <f t="shared" si="70"/>
        <v>20.16</v>
      </c>
      <c r="J1027" s="394">
        <f t="shared" si="71"/>
        <v>19.600000000000001</v>
      </c>
      <c r="K1027" s="394">
        <f t="shared" si="72"/>
        <v>25.38</v>
      </c>
    </row>
    <row r="1028" spans="8:11" x14ac:dyDescent="0.25">
      <c r="H1028" s="394">
        <f t="shared" si="69"/>
        <v>1.01</v>
      </c>
      <c r="I1028" s="394">
        <f t="shared" si="70"/>
        <v>1.1299999999999999</v>
      </c>
      <c r="J1028" s="394">
        <f t="shared" si="71"/>
        <v>1.51</v>
      </c>
      <c r="K1028" s="394">
        <f t="shared" si="72"/>
        <v>2.83</v>
      </c>
    </row>
    <row r="1029" spans="8:11" x14ac:dyDescent="0.25">
      <c r="H1029" s="394">
        <f t="shared" si="69"/>
        <v>2.38</v>
      </c>
      <c r="I1029" s="394">
        <f t="shared" si="70"/>
        <v>2.66</v>
      </c>
      <c r="J1029" s="394">
        <f t="shared" si="71"/>
        <v>3.39</v>
      </c>
      <c r="K1029" s="394">
        <f t="shared" si="72"/>
        <v>6.08</v>
      </c>
    </row>
    <row r="1030" spans="8:11" x14ac:dyDescent="0.25">
      <c r="H1030" s="394" t="str">
        <f t="shared" ref="H1030:H1036" si="73">IF($C52="","",ROUND(($B$2*$F52*($B$5/1000))/$B$6,2))</f>
        <v/>
      </c>
      <c r="I1030" s="394" t="str">
        <f t="shared" ref="I1030:I1036" si="74">IF($C52="","",ROUND(($B$3*$F52*($B$5/1000))/$B$6,2))</f>
        <v/>
      </c>
      <c r="J1030" s="394" t="str">
        <f t="shared" ref="J1030:J1036" si="75">IF(OR($C52="",$B$9="",$B$15=""),"",ROUND(((((IF($B$15="N/A",$B$2,$B$4))*$F52*($B$5/1000))+((($G52/1000)*($B$5/1000)*10.7639104)*(IF($B$9="Smooth",$B$10,IF($B$9="Sand",$B$11,0)))))*(1+$B$17))/$B$8,2))</f>
        <v/>
      </c>
      <c r="K1030" s="394" t="str">
        <f t="shared" ref="K1030:K1036" si="76">IF(OR($C52="",$B$12="",$B$15=""),"",ROUND(((((IF($B$15="N/A",$B$2,$B$4))*$F52*($B$5/1000))+((($G52/1000)*($B$5/1000)*10.7639104)*(IF($B$12="Indoor",$B$13,IF($B$12="Outdoor",$B$14,0)))))*(1+$B$17))/$B$8,2))</f>
        <v/>
      </c>
    </row>
    <row r="1031" spans="8:11" x14ac:dyDescent="0.25">
      <c r="H1031" s="394" t="str">
        <f t="shared" si="73"/>
        <v/>
      </c>
      <c r="I1031" s="394" t="str">
        <f t="shared" si="74"/>
        <v/>
      </c>
      <c r="J1031" s="394" t="str">
        <f t="shared" si="75"/>
        <v/>
      </c>
      <c r="K1031" s="394" t="str">
        <f t="shared" si="76"/>
        <v/>
      </c>
    </row>
    <row r="1032" spans="8:11" x14ac:dyDescent="0.25">
      <c r="H1032" s="394" t="str">
        <f t="shared" si="73"/>
        <v/>
      </c>
      <c r="I1032" s="394" t="str">
        <f t="shared" si="74"/>
        <v/>
      </c>
      <c r="J1032" s="394" t="str">
        <f t="shared" si="75"/>
        <v/>
      </c>
      <c r="K1032" s="394" t="str">
        <f t="shared" si="76"/>
        <v/>
      </c>
    </row>
    <row r="1033" spans="8:11" x14ac:dyDescent="0.25">
      <c r="H1033" s="394" t="str">
        <f t="shared" si="73"/>
        <v/>
      </c>
      <c r="I1033" s="394" t="str">
        <f t="shared" si="74"/>
        <v/>
      </c>
      <c r="J1033" s="394" t="str">
        <f t="shared" si="75"/>
        <v/>
      </c>
      <c r="K1033" s="394" t="str">
        <f t="shared" si="76"/>
        <v/>
      </c>
    </row>
    <row r="1034" spans="8:11" x14ac:dyDescent="0.25">
      <c r="H1034" s="394" t="str">
        <f t="shared" si="73"/>
        <v/>
      </c>
      <c r="I1034" s="394" t="str">
        <f t="shared" si="74"/>
        <v/>
      </c>
      <c r="J1034" s="394" t="str">
        <f t="shared" si="75"/>
        <v/>
      </c>
      <c r="K1034" s="394" t="str">
        <f t="shared" si="76"/>
        <v/>
      </c>
    </row>
    <row r="1035" spans="8:11" x14ac:dyDescent="0.25">
      <c r="H1035" s="394" t="str">
        <f t="shared" si="73"/>
        <v/>
      </c>
      <c r="I1035" s="394" t="str">
        <f t="shared" si="74"/>
        <v/>
      </c>
      <c r="J1035" s="394" t="str">
        <f t="shared" si="75"/>
        <v/>
      </c>
      <c r="K1035" s="394" t="str">
        <f t="shared" si="76"/>
        <v/>
      </c>
    </row>
    <row r="1036" spans="8:11" x14ac:dyDescent="0.25">
      <c r="H1036" s="394" t="str">
        <f t="shared" si="73"/>
        <v/>
      </c>
      <c r="I1036" s="394" t="str">
        <f t="shared" si="74"/>
        <v/>
      </c>
      <c r="J1036" s="394" t="str">
        <f t="shared" si="75"/>
        <v/>
      </c>
      <c r="K1036" s="394" t="str">
        <f t="shared" si="76"/>
        <v/>
      </c>
    </row>
    <row r="1037" spans="8:11" x14ac:dyDescent="0.25">
      <c r="H1037" s="394" t="str">
        <f t="shared" ref="H1037:H1064" si="77">IF($C59="","",ROUND(($B$2*$F59*($B$5/1000))/$B$6,2))</f>
        <v/>
      </c>
      <c r="I1037" s="394" t="str">
        <f t="shared" ref="I1037:I1064" si="78">IF($C59="","",ROUND(($B$3*$F59*($B$5/1000))/$B$6,2))</f>
        <v/>
      </c>
      <c r="J1037" s="394" t="str">
        <f t="shared" ref="J1037:J1064" si="79">IF(OR($C59="",$B$9="",$B$15=""),"",ROUND(((((IF($B$15="N/A",$B$2,$B$4))*$F59*($B$5/1000))+((($G59/1000)*($B$5/1000)*10.7639104)*(IF($B$9="Smooth",$B$10,IF($B$9="Sand",$B$11,0)))))*(1+$B$17))/$B$8,2))</f>
        <v/>
      </c>
      <c r="K1037" s="394" t="str">
        <f t="shared" ref="K1037:K1064" si="80">IF(OR($C59="",$B$12="",$B$15=""),"",ROUND(((((IF($B$15="N/A",$B$2,$B$4))*$F59*($B$5/1000))+((($G59/1000)*($B$5/1000)*10.7639104)*(IF($B$12="Indoor",$B$13,IF($B$12="Outdoor",$B$14,0)))))*(1+$B$17))/$B$8,2))</f>
        <v/>
      </c>
    </row>
    <row r="1038" spans="8:11" x14ac:dyDescent="0.25">
      <c r="H1038" s="394" t="str">
        <f t="shared" si="77"/>
        <v/>
      </c>
      <c r="I1038" s="394" t="str">
        <f t="shared" si="78"/>
        <v/>
      </c>
      <c r="J1038" s="394" t="str">
        <f t="shared" si="79"/>
        <v/>
      </c>
      <c r="K1038" s="394" t="str">
        <f t="shared" si="80"/>
        <v/>
      </c>
    </row>
    <row r="1039" spans="8:11" x14ac:dyDescent="0.25">
      <c r="H1039" s="394" t="str">
        <f t="shared" si="77"/>
        <v/>
      </c>
      <c r="I1039" s="394" t="str">
        <f t="shared" si="78"/>
        <v/>
      </c>
      <c r="J1039" s="394" t="str">
        <f t="shared" si="79"/>
        <v/>
      </c>
      <c r="K1039" s="394" t="str">
        <f t="shared" si="80"/>
        <v/>
      </c>
    </row>
    <row r="1040" spans="8:11" x14ac:dyDescent="0.25">
      <c r="H1040" s="394" t="str">
        <f t="shared" si="77"/>
        <v/>
      </c>
      <c r="I1040" s="394" t="str">
        <f t="shared" si="78"/>
        <v/>
      </c>
      <c r="J1040" s="394" t="str">
        <f t="shared" si="79"/>
        <v/>
      </c>
      <c r="K1040" s="394" t="str">
        <f t="shared" si="80"/>
        <v/>
      </c>
    </row>
    <row r="1041" spans="8:11" x14ac:dyDescent="0.25">
      <c r="H1041" s="394" t="str">
        <f t="shared" si="77"/>
        <v/>
      </c>
      <c r="I1041" s="394" t="str">
        <f t="shared" si="78"/>
        <v/>
      </c>
      <c r="J1041" s="394" t="str">
        <f t="shared" si="79"/>
        <v/>
      </c>
      <c r="K1041" s="394" t="str">
        <f t="shared" si="80"/>
        <v/>
      </c>
    </row>
    <row r="1042" spans="8:11" x14ac:dyDescent="0.25">
      <c r="H1042" s="394" t="str">
        <f t="shared" si="77"/>
        <v/>
      </c>
      <c r="I1042" s="394" t="str">
        <f t="shared" si="78"/>
        <v/>
      </c>
      <c r="J1042" s="394" t="str">
        <f t="shared" si="79"/>
        <v/>
      </c>
      <c r="K1042" s="394" t="str">
        <f t="shared" si="80"/>
        <v/>
      </c>
    </row>
    <row r="1043" spans="8:11" x14ac:dyDescent="0.25">
      <c r="H1043" s="394" t="str">
        <f t="shared" si="77"/>
        <v/>
      </c>
      <c r="I1043" s="394" t="str">
        <f t="shared" si="78"/>
        <v/>
      </c>
      <c r="J1043" s="394" t="str">
        <f t="shared" si="79"/>
        <v/>
      </c>
      <c r="K1043" s="394" t="str">
        <f t="shared" si="80"/>
        <v/>
      </c>
    </row>
    <row r="1044" spans="8:11" x14ac:dyDescent="0.25">
      <c r="H1044" s="394" t="str">
        <f t="shared" si="77"/>
        <v/>
      </c>
      <c r="I1044" s="394" t="str">
        <f t="shared" si="78"/>
        <v/>
      </c>
      <c r="J1044" s="394" t="str">
        <f t="shared" si="79"/>
        <v/>
      </c>
      <c r="K1044" s="394" t="str">
        <f t="shared" si="80"/>
        <v/>
      </c>
    </row>
    <row r="1045" spans="8:11" x14ac:dyDescent="0.25">
      <c r="H1045" s="394" t="str">
        <f t="shared" si="77"/>
        <v/>
      </c>
      <c r="I1045" s="394" t="str">
        <f t="shared" si="78"/>
        <v/>
      </c>
      <c r="J1045" s="394" t="str">
        <f t="shared" si="79"/>
        <v/>
      </c>
      <c r="K1045" s="394" t="str">
        <f t="shared" si="80"/>
        <v/>
      </c>
    </row>
    <row r="1046" spans="8:11" x14ac:dyDescent="0.25">
      <c r="H1046" s="394" t="str">
        <f t="shared" si="77"/>
        <v/>
      </c>
      <c r="I1046" s="394" t="str">
        <f t="shared" si="78"/>
        <v/>
      </c>
      <c r="J1046" s="394" t="str">
        <f t="shared" si="79"/>
        <v/>
      </c>
      <c r="K1046" s="394" t="str">
        <f t="shared" si="80"/>
        <v/>
      </c>
    </row>
    <row r="1047" spans="8:11" x14ac:dyDescent="0.25">
      <c r="H1047" s="394" t="str">
        <f t="shared" si="77"/>
        <v/>
      </c>
      <c r="I1047" s="394" t="str">
        <f t="shared" si="78"/>
        <v/>
      </c>
      <c r="J1047" s="394" t="str">
        <f t="shared" si="79"/>
        <v/>
      </c>
      <c r="K1047" s="394" t="str">
        <f t="shared" si="80"/>
        <v/>
      </c>
    </row>
    <row r="1048" spans="8:11" x14ac:dyDescent="0.25">
      <c r="H1048" s="394" t="str">
        <f t="shared" si="77"/>
        <v/>
      </c>
      <c r="I1048" s="394" t="str">
        <f t="shared" si="78"/>
        <v/>
      </c>
      <c r="J1048" s="394" t="str">
        <f t="shared" si="79"/>
        <v/>
      </c>
      <c r="K1048" s="394" t="str">
        <f t="shared" si="80"/>
        <v/>
      </c>
    </row>
    <row r="1049" spans="8:11" x14ac:dyDescent="0.25">
      <c r="H1049" s="394" t="str">
        <f t="shared" si="77"/>
        <v/>
      </c>
      <c r="I1049" s="394" t="str">
        <f t="shared" si="78"/>
        <v/>
      </c>
      <c r="J1049" s="394" t="str">
        <f t="shared" si="79"/>
        <v/>
      </c>
      <c r="K1049" s="394" t="str">
        <f t="shared" si="80"/>
        <v/>
      </c>
    </row>
    <row r="1050" spans="8:11" x14ac:dyDescent="0.25">
      <c r="H1050" s="394" t="str">
        <f t="shared" si="77"/>
        <v/>
      </c>
      <c r="I1050" s="394" t="str">
        <f t="shared" si="78"/>
        <v/>
      </c>
      <c r="J1050" s="394" t="str">
        <f t="shared" si="79"/>
        <v/>
      </c>
      <c r="K1050" s="394" t="str">
        <f t="shared" si="80"/>
        <v/>
      </c>
    </row>
    <row r="1051" spans="8:11" x14ac:dyDescent="0.25">
      <c r="H1051" s="394" t="str">
        <f t="shared" si="77"/>
        <v/>
      </c>
      <c r="I1051" s="394" t="str">
        <f t="shared" si="78"/>
        <v/>
      </c>
      <c r="J1051" s="394" t="str">
        <f t="shared" si="79"/>
        <v/>
      </c>
      <c r="K1051" s="394" t="str">
        <f t="shared" si="80"/>
        <v/>
      </c>
    </row>
    <row r="1052" spans="8:11" x14ac:dyDescent="0.25">
      <c r="H1052" s="394" t="str">
        <f t="shared" si="77"/>
        <v/>
      </c>
      <c r="I1052" s="394" t="str">
        <f t="shared" si="78"/>
        <v/>
      </c>
      <c r="J1052" s="394" t="str">
        <f t="shared" si="79"/>
        <v/>
      </c>
      <c r="K1052" s="394" t="str">
        <f t="shared" si="80"/>
        <v/>
      </c>
    </row>
    <row r="1053" spans="8:11" x14ac:dyDescent="0.25">
      <c r="H1053" s="394" t="str">
        <f t="shared" si="77"/>
        <v/>
      </c>
      <c r="I1053" s="394" t="str">
        <f t="shared" si="78"/>
        <v/>
      </c>
      <c r="J1053" s="394" t="str">
        <f t="shared" si="79"/>
        <v/>
      </c>
      <c r="K1053" s="394" t="str">
        <f t="shared" si="80"/>
        <v/>
      </c>
    </row>
    <row r="1054" spans="8:11" x14ac:dyDescent="0.25">
      <c r="H1054" s="394" t="str">
        <f t="shared" si="77"/>
        <v/>
      </c>
      <c r="I1054" s="394" t="str">
        <f t="shared" si="78"/>
        <v/>
      </c>
      <c r="J1054" s="394" t="str">
        <f t="shared" si="79"/>
        <v/>
      </c>
      <c r="K1054" s="394" t="str">
        <f t="shared" si="80"/>
        <v/>
      </c>
    </row>
    <row r="1055" spans="8:11" x14ac:dyDescent="0.25">
      <c r="H1055" s="394" t="str">
        <f t="shared" si="77"/>
        <v/>
      </c>
      <c r="I1055" s="394" t="str">
        <f t="shared" si="78"/>
        <v/>
      </c>
      <c r="J1055" s="394" t="str">
        <f t="shared" si="79"/>
        <v/>
      </c>
      <c r="K1055" s="394" t="str">
        <f t="shared" si="80"/>
        <v/>
      </c>
    </row>
    <row r="1056" spans="8:11" x14ac:dyDescent="0.25">
      <c r="H1056" s="394" t="str">
        <f t="shared" si="77"/>
        <v/>
      </c>
      <c r="I1056" s="394" t="str">
        <f t="shared" si="78"/>
        <v/>
      </c>
      <c r="J1056" s="394" t="str">
        <f t="shared" si="79"/>
        <v/>
      </c>
      <c r="K1056" s="394" t="str">
        <f t="shared" si="80"/>
        <v/>
      </c>
    </row>
    <row r="1057" spans="8:11" x14ac:dyDescent="0.25">
      <c r="H1057" s="394" t="str">
        <f t="shared" si="77"/>
        <v/>
      </c>
      <c r="I1057" s="394" t="str">
        <f t="shared" si="78"/>
        <v/>
      </c>
      <c r="J1057" s="394" t="str">
        <f t="shared" si="79"/>
        <v/>
      </c>
      <c r="K1057" s="394" t="str">
        <f t="shared" si="80"/>
        <v/>
      </c>
    </row>
    <row r="1058" spans="8:11" x14ac:dyDescent="0.25">
      <c r="H1058" s="394" t="str">
        <f t="shared" si="77"/>
        <v/>
      </c>
      <c r="I1058" s="394" t="str">
        <f t="shared" si="78"/>
        <v/>
      </c>
      <c r="J1058" s="394" t="str">
        <f t="shared" si="79"/>
        <v/>
      </c>
      <c r="K1058" s="394" t="str">
        <f t="shared" si="80"/>
        <v/>
      </c>
    </row>
    <row r="1059" spans="8:11" x14ac:dyDescent="0.25">
      <c r="H1059" s="394" t="str">
        <f t="shared" si="77"/>
        <v/>
      </c>
      <c r="I1059" s="394" t="str">
        <f t="shared" si="78"/>
        <v/>
      </c>
      <c r="J1059" s="394" t="str">
        <f t="shared" si="79"/>
        <v/>
      </c>
      <c r="K1059" s="394" t="str">
        <f t="shared" si="80"/>
        <v/>
      </c>
    </row>
    <row r="1060" spans="8:11" x14ac:dyDescent="0.25">
      <c r="H1060" s="394" t="str">
        <f t="shared" si="77"/>
        <v/>
      </c>
      <c r="I1060" s="394" t="str">
        <f t="shared" si="78"/>
        <v/>
      </c>
      <c r="J1060" s="394" t="str">
        <f t="shared" si="79"/>
        <v/>
      </c>
      <c r="K1060" s="394" t="str">
        <f t="shared" si="80"/>
        <v/>
      </c>
    </row>
    <row r="1061" spans="8:11" x14ac:dyDescent="0.25">
      <c r="H1061" s="394" t="str">
        <f t="shared" si="77"/>
        <v/>
      </c>
      <c r="I1061" s="394" t="str">
        <f t="shared" si="78"/>
        <v/>
      </c>
      <c r="J1061" s="394" t="str">
        <f t="shared" si="79"/>
        <v/>
      </c>
      <c r="K1061" s="394" t="str">
        <f t="shared" si="80"/>
        <v/>
      </c>
    </row>
    <row r="1062" spans="8:11" x14ac:dyDescent="0.25">
      <c r="H1062" s="394" t="str">
        <f t="shared" si="77"/>
        <v/>
      </c>
      <c r="I1062" s="394" t="str">
        <f t="shared" si="78"/>
        <v/>
      </c>
      <c r="J1062" s="394" t="str">
        <f t="shared" si="79"/>
        <v/>
      </c>
      <c r="K1062" s="394" t="str">
        <f t="shared" si="80"/>
        <v/>
      </c>
    </row>
    <row r="1063" spans="8:11" x14ac:dyDescent="0.25">
      <c r="H1063" s="394" t="str">
        <f t="shared" si="77"/>
        <v/>
      </c>
      <c r="I1063" s="394" t="str">
        <f t="shared" si="78"/>
        <v/>
      </c>
      <c r="J1063" s="394" t="str">
        <f t="shared" si="79"/>
        <v/>
      </c>
      <c r="K1063" s="394" t="str">
        <f t="shared" si="80"/>
        <v/>
      </c>
    </row>
    <row r="1064" spans="8:11" x14ac:dyDescent="0.25">
      <c r="H1064" s="394" t="str">
        <f t="shared" si="77"/>
        <v/>
      </c>
      <c r="I1064" s="394" t="str">
        <f t="shared" si="78"/>
        <v/>
      </c>
      <c r="J1064" s="394" t="str">
        <f t="shared" si="79"/>
        <v/>
      </c>
      <c r="K1064" s="394" t="str">
        <f t="shared" si="80"/>
        <v/>
      </c>
    </row>
    <row r="1065" spans="8:11" x14ac:dyDescent="0.25">
      <c r="H1065" s="394" t="str">
        <f t="shared" ref="H1065:H1128" si="81">IF($C87="","",ROUND(($B$2*$F87*($B$5/1000))/$B$6,2))</f>
        <v/>
      </c>
      <c r="I1065" s="394" t="str">
        <f t="shared" ref="I1065:I1128" si="82">IF($C87="","",ROUND(($B$3*$F87*($B$5/1000))/$B$6,2))</f>
        <v/>
      </c>
      <c r="J1065" s="394" t="str">
        <f t="shared" ref="J1065:J1128" si="83">IF(OR($C87="",$B$9="",$B$15=""),"",ROUND(((((IF($B$15="N/A",$B$2,$B$4))*$F87*($B$5/1000))+((($G87/1000)*($B$5/1000)*10.7639104)*(IF($B$9="Smooth",$B$10,IF($B$9="Sand",$B$11,0)))))*(1+$B$17))/$B$8,2))</f>
        <v/>
      </c>
      <c r="K1065" s="394" t="str">
        <f t="shared" ref="K1065:K1128" si="84">IF(OR($C87="",$B$12="",$B$15=""),"",ROUND(((((IF($B$15="N/A",$B$2,$B$4))*$F87*($B$5/1000))+((($G87/1000)*($B$5/1000)*10.7639104)*(IF($B$12="Indoor",$B$13,IF($B$12="Outdoor",$B$14,0)))))*(1+$B$17))/$B$8,2))</f>
        <v/>
      </c>
    </row>
    <row r="1066" spans="8:11" x14ac:dyDescent="0.25">
      <c r="H1066" s="394" t="str">
        <f t="shared" si="81"/>
        <v/>
      </c>
      <c r="I1066" s="394" t="str">
        <f t="shared" si="82"/>
        <v/>
      </c>
      <c r="J1066" s="394" t="str">
        <f t="shared" si="83"/>
        <v/>
      </c>
      <c r="K1066" s="394" t="str">
        <f t="shared" si="84"/>
        <v/>
      </c>
    </row>
    <row r="1067" spans="8:11" x14ac:dyDescent="0.25">
      <c r="H1067" s="394" t="str">
        <f t="shared" si="81"/>
        <v/>
      </c>
      <c r="I1067" s="394" t="str">
        <f t="shared" si="82"/>
        <v/>
      </c>
      <c r="J1067" s="394" t="str">
        <f t="shared" si="83"/>
        <v/>
      </c>
      <c r="K1067" s="394" t="str">
        <f t="shared" si="84"/>
        <v/>
      </c>
    </row>
    <row r="1068" spans="8:11" x14ac:dyDescent="0.25">
      <c r="H1068" s="394" t="str">
        <f t="shared" si="81"/>
        <v/>
      </c>
      <c r="I1068" s="394" t="str">
        <f t="shared" si="82"/>
        <v/>
      </c>
      <c r="J1068" s="394" t="str">
        <f t="shared" si="83"/>
        <v/>
      </c>
      <c r="K1068" s="394" t="str">
        <f t="shared" si="84"/>
        <v/>
      </c>
    </row>
    <row r="1069" spans="8:11" x14ac:dyDescent="0.25">
      <c r="H1069" s="394" t="str">
        <f t="shared" si="81"/>
        <v/>
      </c>
      <c r="I1069" s="394" t="str">
        <f t="shared" si="82"/>
        <v/>
      </c>
      <c r="J1069" s="394" t="str">
        <f t="shared" si="83"/>
        <v/>
      </c>
      <c r="K1069" s="394" t="str">
        <f t="shared" si="84"/>
        <v/>
      </c>
    </row>
    <row r="1070" spans="8:11" x14ac:dyDescent="0.25">
      <c r="H1070" s="394" t="str">
        <f t="shared" si="81"/>
        <v/>
      </c>
      <c r="I1070" s="394" t="str">
        <f t="shared" si="82"/>
        <v/>
      </c>
      <c r="J1070" s="394" t="str">
        <f t="shared" si="83"/>
        <v/>
      </c>
      <c r="K1070" s="394" t="str">
        <f t="shared" si="84"/>
        <v/>
      </c>
    </row>
    <row r="1071" spans="8:11" x14ac:dyDescent="0.25">
      <c r="H1071" s="394" t="str">
        <f t="shared" si="81"/>
        <v/>
      </c>
      <c r="I1071" s="394" t="str">
        <f t="shared" si="82"/>
        <v/>
      </c>
      <c r="J1071" s="394" t="str">
        <f t="shared" si="83"/>
        <v/>
      </c>
      <c r="K1071" s="394" t="str">
        <f t="shared" si="84"/>
        <v/>
      </c>
    </row>
    <row r="1072" spans="8:11" x14ac:dyDescent="0.25">
      <c r="H1072" s="394" t="str">
        <f t="shared" si="81"/>
        <v/>
      </c>
      <c r="I1072" s="394" t="str">
        <f t="shared" si="82"/>
        <v/>
      </c>
      <c r="J1072" s="394" t="str">
        <f t="shared" si="83"/>
        <v/>
      </c>
      <c r="K1072" s="394" t="str">
        <f t="shared" si="84"/>
        <v/>
      </c>
    </row>
    <row r="1073" spans="8:11" x14ac:dyDescent="0.25">
      <c r="H1073" s="394" t="str">
        <f t="shared" si="81"/>
        <v/>
      </c>
      <c r="I1073" s="394" t="str">
        <f t="shared" si="82"/>
        <v/>
      </c>
      <c r="J1073" s="394" t="str">
        <f t="shared" si="83"/>
        <v/>
      </c>
      <c r="K1073" s="394" t="str">
        <f t="shared" si="84"/>
        <v/>
      </c>
    </row>
    <row r="1074" spans="8:11" x14ac:dyDescent="0.25">
      <c r="H1074" s="394" t="str">
        <f t="shared" si="81"/>
        <v/>
      </c>
      <c r="I1074" s="394" t="str">
        <f t="shared" si="82"/>
        <v/>
      </c>
      <c r="J1074" s="394" t="str">
        <f t="shared" si="83"/>
        <v/>
      </c>
      <c r="K1074" s="394" t="str">
        <f t="shared" si="84"/>
        <v/>
      </c>
    </row>
    <row r="1075" spans="8:11" x14ac:dyDescent="0.25">
      <c r="H1075" s="394" t="str">
        <f t="shared" si="81"/>
        <v/>
      </c>
      <c r="I1075" s="394" t="str">
        <f t="shared" si="82"/>
        <v/>
      </c>
      <c r="J1075" s="394" t="str">
        <f t="shared" si="83"/>
        <v/>
      </c>
      <c r="K1075" s="394" t="str">
        <f t="shared" si="84"/>
        <v/>
      </c>
    </row>
    <row r="1076" spans="8:11" x14ac:dyDescent="0.25">
      <c r="H1076" s="394" t="str">
        <f t="shared" si="81"/>
        <v/>
      </c>
      <c r="I1076" s="394" t="str">
        <f t="shared" si="82"/>
        <v/>
      </c>
      <c r="J1076" s="394" t="str">
        <f t="shared" si="83"/>
        <v/>
      </c>
      <c r="K1076" s="394" t="str">
        <f t="shared" si="84"/>
        <v/>
      </c>
    </row>
    <row r="1077" spans="8:11" x14ac:dyDescent="0.25">
      <c r="H1077" s="394" t="str">
        <f t="shared" si="81"/>
        <v/>
      </c>
      <c r="I1077" s="394" t="str">
        <f t="shared" si="82"/>
        <v/>
      </c>
      <c r="J1077" s="394" t="str">
        <f t="shared" si="83"/>
        <v/>
      </c>
      <c r="K1077" s="394" t="str">
        <f t="shared" si="84"/>
        <v/>
      </c>
    </row>
    <row r="1078" spans="8:11" x14ac:dyDescent="0.25">
      <c r="H1078" s="394" t="str">
        <f t="shared" si="81"/>
        <v/>
      </c>
      <c r="I1078" s="394" t="str">
        <f t="shared" si="82"/>
        <v/>
      </c>
      <c r="J1078" s="394" t="str">
        <f t="shared" si="83"/>
        <v/>
      </c>
      <c r="K1078" s="394" t="str">
        <f t="shared" si="84"/>
        <v/>
      </c>
    </row>
    <row r="1079" spans="8:11" x14ac:dyDescent="0.25">
      <c r="H1079" s="394" t="str">
        <f t="shared" si="81"/>
        <v/>
      </c>
      <c r="I1079" s="394" t="str">
        <f t="shared" si="82"/>
        <v/>
      </c>
      <c r="J1079" s="394" t="str">
        <f t="shared" si="83"/>
        <v/>
      </c>
      <c r="K1079" s="394" t="str">
        <f t="shared" si="84"/>
        <v/>
      </c>
    </row>
    <row r="1080" spans="8:11" x14ac:dyDescent="0.25">
      <c r="H1080" s="394" t="str">
        <f t="shared" si="81"/>
        <v/>
      </c>
      <c r="I1080" s="394" t="str">
        <f t="shared" si="82"/>
        <v/>
      </c>
      <c r="J1080" s="394" t="str">
        <f t="shared" si="83"/>
        <v/>
      </c>
      <c r="K1080" s="394" t="str">
        <f t="shared" si="84"/>
        <v/>
      </c>
    </row>
    <row r="1081" spans="8:11" x14ac:dyDescent="0.25">
      <c r="H1081" s="394" t="str">
        <f t="shared" si="81"/>
        <v/>
      </c>
      <c r="I1081" s="394" t="str">
        <f t="shared" si="82"/>
        <v/>
      </c>
      <c r="J1081" s="394" t="str">
        <f t="shared" si="83"/>
        <v/>
      </c>
      <c r="K1081" s="394" t="str">
        <f t="shared" si="84"/>
        <v/>
      </c>
    </row>
    <row r="1082" spans="8:11" x14ac:dyDescent="0.25">
      <c r="H1082" s="394" t="str">
        <f t="shared" si="81"/>
        <v/>
      </c>
      <c r="I1082" s="394" t="str">
        <f t="shared" si="82"/>
        <v/>
      </c>
      <c r="J1082" s="394" t="str">
        <f t="shared" si="83"/>
        <v/>
      </c>
      <c r="K1082" s="394" t="str">
        <f t="shared" si="84"/>
        <v/>
      </c>
    </row>
    <row r="1083" spans="8:11" x14ac:dyDescent="0.25">
      <c r="H1083" s="394" t="str">
        <f t="shared" si="81"/>
        <v/>
      </c>
      <c r="I1083" s="394" t="str">
        <f t="shared" si="82"/>
        <v/>
      </c>
      <c r="J1083" s="394" t="str">
        <f t="shared" si="83"/>
        <v/>
      </c>
      <c r="K1083" s="394" t="str">
        <f t="shared" si="84"/>
        <v/>
      </c>
    </row>
    <row r="1084" spans="8:11" x14ac:dyDescent="0.25">
      <c r="H1084" s="394" t="str">
        <f t="shared" si="81"/>
        <v/>
      </c>
      <c r="I1084" s="394" t="str">
        <f t="shared" si="82"/>
        <v/>
      </c>
      <c r="J1084" s="394" t="str">
        <f t="shared" si="83"/>
        <v/>
      </c>
      <c r="K1084" s="394" t="str">
        <f t="shared" si="84"/>
        <v/>
      </c>
    </row>
    <row r="1085" spans="8:11" x14ac:dyDescent="0.25">
      <c r="H1085" s="394" t="str">
        <f t="shared" si="81"/>
        <v/>
      </c>
      <c r="I1085" s="394" t="str">
        <f t="shared" si="82"/>
        <v/>
      </c>
      <c r="J1085" s="394" t="str">
        <f t="shared" si="83"/>
        <v/>
      </c>
      <c r="K1085" s="394" t="str">
        <f t="shared" si="84"/>
        <v/>
      </c>
    </row>
    <row r="1086" spans="8:11" x14ac:dyDescent="0.25">
      <c r="H1086" s="394" t="str">
        <f t="shared" si="81"/>
        <v/>
      </c>
      <c r="I1086" s="394" t="str">
        <f t="shared" si="82"/>
        <v/>
      </c>
      <c r="J1086" s="394" t="str">
        <f t="shared" si="83"/>
        <v/>
      </c>
      <c r="K1086" s="394" t="str">
        <f t="shared" si="84"/>
        <v/>
      </c>
    </row>
    <row r="1087" spans="8:11" x14ac:dyDescent="0.25">
      <c r="H1087" s="394" t="str">
        <f t="shared" si="81"/>
        <v/>
      </c>
      <c r="I1087" s="394" t="str">
        <f t="shared" si="82"/>
        <v/>
      </c>
      <c r="J1087" s="394" t="str">
        <f t="shared" si="83"/>
        <v/>
      </c>
      <c r="K1087" s="394" t="str">
        <f t="shared" si="84"/>
        <v/>
      </c>
    </row>
    <row r="1088" spans="8:11" x14ac:dyDescent="0.25">
      <c r="H1088" s="394" t="str">
        <f t="shared" si="81"/>
        <v/>
      </c>
      <c r="I1088" s="394" t="str">
        <f t="shared" si="82"/>
        <v/>
      </c>
      <c r="J1088" s="394" t="str">
        <f t="shared" si="83"/>
        <v/>
      </c>
      <c r="K1088" s="394" t="str">
        <f t="shared" si="84"/>
        <v/>
      </c>
    </row>
    <row r="1089" spans="8:11" x14ac:dyDescent="0.25">
      <c r="H1089" s="394" t="str">
        <f t="shared" si="81"/>
        <v/>
      </c>
      <c r="I1089" s="394" t="str">
        <f t="shared" si="82"/>
        <v/>
      </c>
      <c r="J1089" s="394" t="str">
        <f t="shared" si="83"/>
        <v/>
      </c>
      <c r="K1089" s="394" t="str">
        <f t="shared" si="84"/>
        <v/>
      </c>
    </row>
    <row r="1090" spans="8:11" x14ac:dyDescent="0.25">
      <c r="H1090" s="394" t="str">
        <f t="shared" si="81"/>
        <v/>
      </c>
      <c r="I1090" s="394" t="str">
        <f t="shared" si="82"/>
        <v/>
      </c>
      <c r="J1090" s="394" t="str">
        <f t="shared" si="83"/>
        <v/>
      </c>
      <c r="K1090" s="394" t="str">
        <f t="shared" si="84"/>
        <v/>
      </c>
    </row>
    <row r="1091" spans="8:11" x14ac:dyDescent="0.25">
      <c r="H1091" s="394" t="str">
        <f t="shared" si="81"/>
        <v/>
      </c>
      <c r="I1091" s="394" t="str">
        <f t="shared" si="82"/>
        <v/>
      </c>
      <c r="J1091" s="394" t="str">
        <f t="shared" si="83"/>
        <v/>
      </c>
      <c r="K1091" s="394" t="str">
        <f t="shared" si="84"/>
        <v/>
      </c>
    </row>
    <row r="1092" spans="8:11" x14ac:dyDescent="0.25">
      <c r="H1092" s="394" t="str">
        <f t="shared" si="81"/>
        <v/>
      </c>
      <c r="I1092" s="394" t="str">
        <f t="shared" si="82"/>
        <v/>
      </c>
      <c r="J1092" s="394" t="str">
        <f t="shared" si="83"/>
        <v/>
      </c>
      <c r="K1092" s="394" t="str">
        <f t="shared" si="84"/>
        <v/>
      </c>
    </row>
    <row r="1093" spans="8:11" x14ac:dyDescent="0.25">
      <c r="H1093" s="394" t="str">
        <f t="shared" si="81"/>
        <v/>
      </c>
      <c r="I1093" s="394" t="str">
        <f t="shared" si="82"/>
        <v/>
      </c>
      <c r="J1093" s="394" t="str">
        <f t="shared" si="83"/>
        <v/>
      </c>
      <c r="K1093" s="394" t="str">
        <f t="shared" si="84"/>
        <v/>
      </c>
    </row>
    <row r="1094" spans="8:11" x14ac:dyDescent="0.25">
      <c r="H1094" s="394" t="str">
        <f t="shared" si="81"/>
        <v/>
      </c>
      <c r="I1094" s="394" t="str">
        <f t="shared" si="82"/>
        <v/>
      </c>
      <c r="J1094" s="394" t="str">
        <f t="shared" si="83"/>
        <v/>
      </c>
      <c r="K1094" s="394" t="str">
        <f t="shared" si="84"/>
        <v/>
      </c>
    </row>
    <row r="1095" spans="8:11" x14ac:dyDescent="0.25">
      <c r="H1095" s="394" t="str">
        <f t="shared" si="81"/>
        <v/>
      </c>
      <c r="I1095" s="394" t="str">
        <f t="shared" si="82"/>
        <v/>
      </c>
      <c r="J1095" s="394" t="str">
        <f t="shared" si="83"/>
        <v/>
      </c>
      <c r="K1095" s="394" t="str">
        <f t="shared" si="84"/>
        <v/>
      </c>
    </row>
    <row r="1096" spans="8:11" x14ac:dyDescent="0.25">
      <c r="H1096" s="394" t="str">
        <f t="shared" si="81"/>
        <v/>
      </c>
      <c r="I1096" s="394" t="str">
        <f t="shared" si="82"/>
        <v/>
      </c>
      <c r="J1096" s="394" t="str">
        <f t="shared" si="83"/>
        <v/>
      </c>
      <c r="K1096" s="394" t="str">
        <f t="shared" si="84"/>
        <v/>
      </c>
    </row>
    <row r="1097" spans="8:11" x14ac:dyDescent="0.25">
      <c r="H1097" s="394" t="str">
        <f t="shared" si="81"/>
        <v/>
      </c>
      <c r="I1097" s="394" t="str">
        <f t="shared" si="82"/>
        <v/>
      </c>
      <c r="J1097" s="394" t="str">
        <f t="shared" si="83"/>
        <v/>
      </c>
      <c r="K1097" s="394" t="str">
        <f t="shared" si="84"/>
        <v/>
      </c>
    </row>
    <row r="1098" spans="8:11" x14ac:dyDescent="0.25">
      <c r="H1098" s="394" t="str">
        <f t="shared" si="81"/>
        <v/>
      </c>
      <c r="I1098" s="394" t="str">
        <f t="shared" si="82"/>
        <v/>
      </c>
      <c r="J1098" s="394" t="str">
        <f t="shared" si="83"/>
        <v/>
      </c>
      <c r="K1098" s="394" t="str">
        <f t="shared" si="84"/>
        <v/>
      </c>
    </row>
    <row r="1099" spans="8:11" x14ac:dyDescent="0.25">
      <c r="H1099" s="394" t="str">
        <f t="shared" si="81"/>
        <v/>
      </c>
      <c r="I1099" s="394" t="str">
        <f t="shared" si="82"/>
        <v/>
      </c>
      <c r="J1099" s="394" t="str">
        <f t="shared" si="83"/>
        <v/>
      </c>
      <c r="K1099" s="394" t="str">
        <f t="shared" si="84"/>
        <v/>
      </c>
    </row>
    <row r="1100" spans="8:11" x14ac:dyDescent="0.25">
      <c r="H1100" s="394" t="str">
        <f t="shared" si="81"/>
        <v/>
      </c>
      <c r="I1100" s="394" t="str">
        <f t="shared" si="82"/>
        <v/>
      </c>
      <c r="J1100" s="394" t="str">
        <f t="shared" si="83"/>
        <v/>
      </c>
      <c r="K1100" s="394" t="str">
        <f t="shared" si="84"/>
        <v/>
      </c>
    </row>
    <row r="1101" spans="8:11" x14ac:dyDescent="0.25">
      <c r="H1101" s="394" t="str">
        <f t="shared" si="81"/>
        <v/>
      </c>
      <c r="I1101" s="394" t="str">
        <f t="shared" si="82"/>
        <v/>
      </c>
      <c r="J1101" s="394" t="str">
        <f t="shared" si="83"/>
        <v/>
      </c>
      <c r="K1101" s="394" t="str">
        <f t="shared" si="84"/>
        <v/>
      </c>
    </row>
    <row r="1102" spans="8:11" x14ac:dyDescent="0.25">
      <c r="H1102" s="394" t="str">
        <f t="shared" si="81"/>
        <v/>
      </c>
      <c r="I1102" s="394" t="str">
        <f t="shared" si="82"/>
        <v/>
      </c>
      <c r="J1102" s="394" t="str">
        <f t="shared" si="83"/>
        <v/>
      </c>
      <c r="K1102" s="394" t="str">
        <f t="shared" si="84"/>
        <v/>
      </c>
    </row>
    <row r="1103" spans="8:11" x14ac:dyDescent="0.25">
      <c r="H1103" s="394" t="str">
        <f t="shared" si="81"/>
        <v/>
      </c>
      <c r="I1103" s="394" t="str">
        <f t="shared" si="82"/>
        <v/>
      </c>
      <c r="J1103" s="394" t="str">
        <f t="shared" si="83"/>
        <v/>
      </c>
      <c r="K1103" s="394" t="str">
        <f t="shared" si="84"/>
        <v/>
      </c>
    </row>
    <row r="1104" spans="8:11" x14ac:dyDescent="0.25">
      <c r="H1104" s="394" t="str">
        <f t="shared" si="81"/>
        <v/>
      </c>
      <c r="I1104" s="394" t="str">
        <f t="shared" si="82"/>
        <v/>
      </c>
      <c r="J1104" s="394" t="str">
        <f t="shared" si="83"/>
        <v/>
      </c>
      <c r="K1104" s="394" t="str">
        <f t="shared" si="84"/>
        <v/>
      </c>
    </row>
    <row r="1105" spans="8:11" x14ac:dyDescent="0.25">
      <c r="H1105" s="394" t="str">
        <f t="shared" si="81"/>
        <v/>
      </c>
      <c r="I1105" s="394" t="str">
        <f t="shared" si="82"/>
        <v/>
      </c>
      <c r="J1105" s="394" t="str">
        <f t="shared" si="83"/>
        <v/>
      </c>
      <c r="K1105" s="394" t="str">
        <f t="shared" si="84"/>
        <v/>
      </c>
    </row>
    <row r="1106" spans="8:11" x14ac:dyDescent="0.25">
      <c r="H1106" s="394" t="str">
        <f t="shared" si="81"/>
        <v/>
      </c>
      <c r="I1106" s="394" t="str">
        <f t="shared" si="82"/>
        <v/>
      </c>
      <c r="J1106" s="394" t="str">
        <f t="shared" si="83"/>
        <v/>
      </c>
      <c r="K1106" s="394" t="str">
        <f t="shared" si="84"/>
        <v/>
      </c>
    </row>
    <row r="1107" spans="8:11" x14ac:dyDescent="0.25">
      <c r="H1107" s="394" t="str">
        <f t="shared" si="81"/>
        <v/>
      </c>
      <c r="I1107" s="394" t="str">
        <f t="shared" si="82"/>
        <v/>
      </c>
      <c r="J1107" s="394" t="str">
        <f t="shared" si="83"/>
        <v/>
      </c>
      <c r="K1107" s="394" t="str">
        <f t="shared" si="84"/>
        <v/>
      </c>
    </row>
    <row r="1108" spans="8:11" x14ac:dyDescent="0.25">
      <c r="H1108" s="394" t="str">
        <f t="shared" si="81"/>
        <v/>
      </c>
      <c r="I1108" s="394" t="str">
        <f t="shared" si="82"/>
        <v/>
      </c>
      <c r="J1108" s="394" t="str">
        <f t="shared" si="83"/>
        <v/>
      </c>
      <c r="K1108" s="394" t="str">
        <f t="shared" si="84"/>
        <v/>
      </c>
    </row>
    <row r="1109" spans="8:11" x14ac:dyDescent="0.25">
      <c r="H1109" s="394" t="str">
        <f t="shared" si="81"/>
        <v/>
      </c>
      <c r="I1109" s="394" t="str">
        <f t="shared" si="82"/>
        <v/>
      </c>
      <c r="J1109" s="394" t="str">
        <f t="shared" si="83"/>
        <v/>
      </c>
      <c r="K1109" s="394" t="str">
        <f t="shared" si="84"/>
        <v/>
      </c>
    </row>
    <row r="1110" spans="8:11" x14ac:dyDescent="0.25">
      <c r="H1110" s="394" t="str">
        <f t="shared" si="81"/>
        <v/>
      </c>
      <c r="I1110" s="394" t="str">
        <f t="shared" si="82"/>
        <v/>
      </c>
      <c r="J1110" s="394" t="str">
        <f t="shared" si="83"/>
        <v/>
      </c>
      <c r="K1110" s="394" t="str">
        <f t="shared" si="84"/>
        <v/>
      </c>
    </row>
    <row r="1111" spans="8:11" x14ac:dyDescent="0.25">
      <c r="H1111" s="394" t="str">
        <f t="shared" si="81"/>
        <v/>
      </c>
      <c r="I1111" s="394" t="str">
        <f t="shared" si="82"/>
        <v/>
      </c>
      <c r="J1111" s="394" t="str">
        <f t="shared" si="83"/>
        <v/>
      </c>
      <c r="K1111" s="394" t="str">
        <f t="shared" si="84"/>
        <v/>
      </c>
    </row>
    <row r="1112" spans="8:11" x14ac:dyDescent="0.25">
      <c r="H1112" s="394" t="str">
        <f t="shared" si="81"/>
        <v/>
      </c>
      <c r="I1112" s="394" t="str">
        <f t="shared" si="82"/>
        <v/>
      </c>
      <c r="J1112" s="394" t="str">
        <f t="shared" si="83"/>
        <v/>
      </c>
      <c r="K1112" s="394" t="str">
        <f t="shared" si="84"/>
        <v/>
      </c>
    </row>
    <row r="1113" spans="8:11" x14ac:dyDescent="0.25">
      <c r="H1113" s="394" t="str">
        <f t="shared" si="81"/>
        <v/>
      </c>
      <c r="I1113" s="394" t="str">
        <f t="shared" si="82"/>
        <v/>
      </c>
      <c r="J1113" s="394" t="str">
        <f t="shared" si="83"/>
        <v/>
      </c>
      <c r="K1113" s="394" t="str">
        <f t="shared" si="84"/>
        <v/>
      </c>
    </row>
    <row r="1114" spans="8:11" x14ac:dyDescent="0.25">
      <c r="H1114" s="394" t="str">
        <f t="shared" si="81"/>
        <v/>
      </c>
      <c r="I1114" s="394" t="str">
        <f t="shared" si="82"/>
        <v/>
      </c>
      <c r="J1114" s="394" t="str">
        <f t="shared" si="83"/>
        <v/>
      </c>
      <c r="K1114" s="394" t="str">
        <f t="shared" si="84"/>
        <v/>
      </c>
    </row>
    <row r="1115" spans="8:11" x14ac:dyDescent="0.25">
      <c r="H1115" s="394" t="str">
        <f t="shared" si="81"/>
        <v/>
      </c>
      <c r="I1115" s="394" t="str">
        <f t="shared" si="82"/>
        <v/>
      </c>
      <c r="J1115" s="394" t="str">
        <f t="shared" si="83"/>
        <v/>
      </c>
      <c r="K1115" s="394" t="str">
        <f t="shared" si="84"/>
        <v/>
      </c>
    </row>
    <row r="1116" spans="8:11" x14ac:dyDescent="0.25">
      <c r="H1116" s="394" t="str">
        <f t="shared" si="81"/>
        <v/>
      </c>
      <c r="I1116" s="394" t="str">
        <f t="shared" si="82"/>
        <v/>
      </c>
      <c r="J1116" s="394" t="str">
        <f t="shared" si="83"/>
        <v/>
      </c>
      <c r="K1116" s="394" t="str">
        <f t="shared" si="84"/>
        <v/>
      </c>
    </row>
    <row r="1117" spans="8:11" x14ac:dyDescent="0.25">
      <c r="H1117" s="394" t="str">
        <f t="shared" si="81"/>
        <v/>
      </c>
      <c r="I1117" s="394" t="str">
        <f t="shared" si="82"/>
        <v/>
      </c>
      <c r="J1117" s="394" t="str">
        <f t="shared" si="83"/>
        <v/>
      </c>
      <c r="K1117" s="394" t="str">
        <f t="shared" si="84"/>
        <v/>
      </c>
    </row>
    <row r="1118" spans="8:11" x14ac:dyDescent="0.25">
      <c r="H1118" s="394" t="str">
        <f t="shared" si="81"/>
        <v/>
      </c>
      <c r="I1118" s="394" t="str">
        <f t="shared" si="82"/>
        <v/>
      </c>
      <c r="J1118" s="394" t="str">
        <f t="shared" si="83"/>
        <v/>
      </c>
      <c r="K1118" s="394" t="str">
        <f t="shared" si="84"/>
        <v/>
      </c>
    </row>
    <row r="1119" spans="8:11" x14ac:dyDescent="0.25">
      <c r="H1119" s="394" t="str">
        <f t="shared" si="81"/>
        <v/>
      </c>
      <c r="I1119" s="394" t="str">
        <f t="shared" si="82"/>
        <v/>
      </c>
      <c r="J1119" s="394" t="str">
        <f t="shared" si="83"/>
        <v/>
      </c>
      <c r="K1119" s="394" t="str">
        <f t="shared" si="84"/>
        <v/>
      </c>
    </row>
    <row r="1120" spans="8:11" x14ac:dyDescent="0.25">
      <c r="H1120" s="394" t="str">
        <f t="shared" si="81"/>
        <v/>
      </c>
      <c r="I1120" s="394" t="str">
        <f t="shared" si="82"/>
        <v/>
      </c>
      <c r="J1120" s="394" t="str">
        <f t="shared" si="83"/>
        <v/>
      </c>
      <c r="K1120" s="394" t="str">
        <f t="shared" si="84"/>
        <v/>
      </c>
    </row>
    <row r="1121" spans="8:11" x14ac:dyDescent="0.25">
      <c r="H1121" s="394" t="str">
        <f t="shared" si="81"/>
        <v/>
      </c>
      <c r="I1121" s="394" t="str">
        <f t="shared" si="82"/>
        <v/>
      </c>
      <c r="J1121" s="394" t="str">
        <f t="shared" si="83"/>
        <v/>
      </c>
      <c r="K1121" s="394" t="str">
        <f t="shared" si="84"/>
        <v/>
      </c>
    </row>
    <row r="1122" spans="8:11" x14ac:dyDescent="0.25">
      <c r="H1122" s="394" t="str">
        <f t="shared" si="81"/>
        <v/>
      </c>
      <c r="I1122" s="394" t="str">
        <f t="shared" si="82"/>
        <v/>
      </c>
      <c r="J1122" s="394" t="str">
        <f t="shared" si="83"/>
        <v/>
      </c>
      <c r="K1122" s="394" t="str">
        <f t="shared" si="84"/>
        <v/>
      </c>
    </row>
    <row r="1123" spans="8:11" x14ac:dyDescent="0.25">
      <c r="H1123" s="394" t="str">
        <f t="shared" si="81"/>
        <v/>
      </c>
      <c r="I1123" s="394" t="str">
        <f t="shared" si="82"/>
        <v/>
      </c>
      <c r="J1123" s="394" t="str">
        <f t="shared" si="83"/>
        <v/>
      </c>
      <c r="K1123" s="394" t="str">
        <f t="shared" si="84"/>
        <v/>
      </c>
    </row>
    <row r="1124" spans="8:11" x14ac:dyDescent="0.25">
      <c r="H1124" s="394" t="str">
        <f t="shared" si="81"/>
        <v/>
      </c>
      <c r="I1124" s="394" t="str">
        <f t="shared" si="82"/>
        <v/>
      </c>
      <c r="J1124" s="394" t="str">
        <f t="shared" si="83"/>
        <v/>
      </c>
      <c r="K1124" s="394" t="str">
        <f t="shared" si="84"/>
        <v/>
      </c>
    </row>
    <row r="1125" spans="8:11" x14ac:dyDescent="0.25">
      <c r="H1125" s="394" t="str">
        <f t="shared" si="81"/>
        <v/>
      </c>
      <c r="I1125" s="394" t="str">
        <f t="shared" si="82"/>
        <v/>
      </c>
      <c r="J1125" s="394" t="str">
        <f t="shared" si="83"/>
        <v/>
      </c>
      <c r="K1125" s="394" t="str">
        <f t="shared" si="84"/>
        <v/>
      </c>
    </row>
    <row r="1126" spans="8:11" x14ac:dyDescent="0.25">
      <c r="H1126" s="394" t="str">
        <f t="shared" si="81"/>
        <v/>
      </c>
      <c r="I1126" s="394" t="str">
        <f t="shared" si="82"/>
        <v/>
      </c>
      <c r="J1126" s="394" t="str">
        <f t="shared" si="83"/>
        <v/>
      </c>
      <c r="K1126" s="394" t="str">
        <f t="shared" si="84"/>
        <v/>
      </c>
    </row>
    <row r="1127" spans="8:11" x14ac:dyDescent="0.25">
      <c r="H1127" s="394" t="str">
        <f t="shared" si="81"/>
        <v/>
      </c>
      <c r="I1127" s="394" t="str">
        <f t="shared" si="82"/>
        <v/>
      </c>
      <c r="J1127" s="394" t="str">
        <f t="shared" si="83"/>
        <v/>
      </c>
      <c r="K1127" s="394" t="str">
        <f t="shared" si="84"/>
        <v/>
      </c>
    </row>
    <row r="1128" spans="8:11" x14ac:dyDescent="0.25">
      <c r="H1128" s="394" t="str">
        <f t="shared" si="81"/>
        <v/>
      </c>
      <c r="I1128" s="394" t="str">
        <f t="shared" si="82"/>
        <v/>
      </c>
      <c r="J1128" s="394" t="str">
        <f t="shared" si="83"/>
        <v/>
      </c>
      <c r="K1128" s="394" t="str">
        <f t="shared" si="84"/>
        <v/>
      </c>
    </row>
    <row r="1129" spans="8:11" x14ac:dyDescent="0.25">
      <c r="H1129" s="394" t="str">
        <f t="shared" ref="H1129:H1192" si="85">IF($C151="","",ROUND(($B$2*$F151*($B$5/1000))/$B$6,2))</f>
        <v/>
      </c>
      <c r="I1129" s="394" t="str">
        <f t="shared" ref="I1129:I1192" si="86">IF($C151="","",ROUND(($B$3*$F151*($B$5/1000))/$B$6,2))</f>
        <v/>
      </c>
      <c r="J1129" s="394" t="str">
        <f t="shared" ref="J1129:J1192" si="87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8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5"/>
        <v/>
      </c>
      <c r="I1130" s="394" t="str">
        <f t="shared" si="86"/>
        <v/>
      </c>
      <c r="J1130" s="394" t="str">
        <f t="shared" si="87"/>
        <v/>
      </c>
      <c r="K1130" s="394" t="str">
        <f t="shared" si="88"/>
        <v/>
      </c>
    </row>
    <row r="1131" spans="8:11" x14ac:dyDescent="0.25">
      <c r="H1131" s="394" t="str">
        <f t="shared" si="85"/>
        <v/>
      </c>
      <c r="I1131" s="394" t="str">
        <f t="shared" si="86"/>
        <v/>
      </c>
      <c r="J1131" s="394" t="str">
        <f t="shared" si="87"/>
        <v/>
      </c>
      <c r="K1131" s="394" t="str">
        <f t="shared" si="88"/>
        <v/>
      </c>
    </row>
    <row r="1132" spans="8:11" x14ac:dyDescent="0.25">
      <c r="H1132" s="394" t="str">
        <f t="shared" si="85"/>
        <v/>
      </c>
      <c r="I1132" s="394" t="str">
        <f t="shared" si="86"/>
        <v/>
      </c>
      <c r="J1132" s="394" t="str">
        <f t="shared" si="87"/>
        <v/>
      </c>
      <c r="K1132" s="394" t="str">
        <f t="shared" si="88"/>
        <v/>
      </c>
    </row>
    <row r="1133" spans="8:11" x14ac:dyDescent="0.25">
      <c r="H1133" s="394" t="str">
        <f t="shared" si="85"/>
        <v/>
      </c>
      <c r="I1133" s="394" t="str">
        <f t="shared" si="86"/>
        <v/>
      </c>
      <c r="J1133" s="394" t="str">
        <f t="shared" si="87"/>
        <v/>
      </c>
      <c r="K1133" s="394" t="str">
        <f t="shared" si="88"/>
        <v/>
      </c>
    </row>
    <row r="1134" spans="8:11" x14ac:dyDescent="0.25">
      <c r="H1134" s="394" t="str">
        <f t="shared" si="85"/>
        <v/>
      </c>
      <c r="I1134" s="394" t="str">
        <f t="shared" si="86"/>
        <v/>
      </c>
      <c r="J1134" s="394" t="str">
        <f t="shared" si="87"/>
        <v/>
      </c>
      <c r="K1134" s="394" t="str">
        <f t="shared" si="88"/>
        <v/>
      </c>
    </row>
    <row r="1135" spans="8:11" x14ac:dyDescent="0.25">
      <c r="H1135" s="394" t="str">
        <f t="shared" si="85"/>
        <v/>
      </c>
      <c r="I1135" s="394" t="str">
        <f t="shared" si="86"/>
        <v/>
      </c>
      <c r="J1135" s="394" t="str">
        <f t="shared" si="87"/>
        <v/>
      </c>
      <c r="K1135" s="394" t="str">
        <f t="shared" si="88"/>
        <v/>
      </c>
    </row>
    <row r="1136" spans="8:11" x14ac:dyDescent="0.25">
      <c r="H1136" s="394" t="str">
        <f t="shared" si="85"/>
        <v/>
      </c>
      <c r="I1136" s="394" t="str">
        <f t="shared" si="86"/>
        <v/>
      </c>
      <c r="J1136" s="394" t="str">
        <f t="shared" si="87"/>
        <v/>
      </c>
      <c r="K1136" s="394" t="str">
        <f t="shared" si="88"/>
        <v/>
      </c>
    </row>
    <row r="1137" spans="8:11" x14ac:dyDescent="0.25">
      <c r="H1137" s="394" t="str">
        <f t="shared" si="85"/>
        <v/>
      </c>
      <c r="I1137" s="394" t="str">
        <f t="shared" si="86"/>
        <v/>
      </c>
      <c r="J1137" s="394" t="str">
        <f t="shared" si="87"/>
        <v/>
      </c>
      <c r="K1137" s="394" t="str">
        <f t="shared" si="88"/>
        <v/>
      </c>
    </row>
    <row r="1138" spans="8:11" x14ac:dyDescent="0.25">
      <c r="H1138" s="394" t="str">
        <f t="shared" si="85"/>
        <v/>
      </c>
      <c r="I1138" s="394" t="str">
        <f t="shared" si="86"/>
        <v/>
      </c>
      <c r="J1138" s="394" t="str">
        <f t="shared" si="87"/>
        <v/>
      </c>
      <c r="K1138" s="394" t="str">
        <f t="shared" si="88"/>
        <v/>
      </c>
    </row>
    <row r="1139" spans="8:11" x14ac:dyDescent="0.25">
      <c r="H1139" s="394" t="str">
        <f t="shared" si="85"/>
        <v/>
      </c>
      <c r="I1139" s="394" t="str">
        <f t="shared" si="86"/>
        <v/>
      </c>
      <c r="J1139" s="394" t="str">
        <f t="shared" si="87"/>
        <v/>
      </c>
      <c r="K1139" s="394" t="str">
        <f t="shared" si="88"/>
        <v/>
      </c>
    </row>
    <row r="1140" spans="8:11" x14ac:dyDescent="0.25">
      <c r="H1140" s="394" t="str">
        <f t="shared" si="85"/>
        <v/>
      </c>
      <c r="I1140" s="394" t="str">
        <f t="shared" si="86"/>
        <v/>
      </c>
      <c r="J1140" s="394" t="str">
        <f t="shared" si="87"/>
        <v/>
      </c>
      <c r="K1140" s="394" t="str">
        <f t="shared" si="88"/>
        <v/>
      </c>
    </row>
    <row r="1141" spans="8:11" x14ac:dyDescent="0.25">
      <c r="H1141" s="394" t="str">
        <f t="shared" si="85"/>
        <v/>
      </c>
      <c r="I1141" s="394" t="str">
        <f t="shared" si="86"/>
        <v/>
      </c>
      <c r="J1141" s="394" t="str">
        <f t="shared" si="87"/>
        <v/>
      </c>
      <c r="K1141" s="394" t="str">
        <f t="shared" si="88"/>
        <v/>
      </c>
    </row>
    <row r="1142" spans="8:11" x14ac:dyDescent="0.25">
      <c r="H1142" s="394" t="str">
        <f t="shared" si="85"/>
        <v/>
      </c>
      <c r="I1142" s="394" t="str">
        <f t="shared" si="86"/>
        <v/>
      </c>
      <c r="J1142" s="394" t="str">
        <f t="shared" si="87"/>
        <v/>
      </c>
      <c r="K1142" s="394" t="str">
        <f t="shared" si="88"/>
        <v/>
      </c>
    </row>
    <row r="1143" spans="8:11" x14ac:dyDescent="0.25">
      <c r="H1143" s="394" t="str">
        <f t="shared" si="85"/>
        <v/>
      </c>
      <c r="I1143" s="394" t="str">
        <f t="shared" si="86"/>
        <v/>
      </c>
      <c r="J1143" s="394" t="str">
        <f t="shared" si="87"/>
        <v/>
      </c>
      <c r="K1143" s="394" t="str">
        <f t="shared" si="88"/>
        <v/>
      </c>
    </row>
    <row r="1144" spans="8:11" x14ac:dyDescent="0.25">
      <c r="H1144" s="394" t="str">
        <f t="shared" si="85"/>
        <v/>
      </c>
      <c r="I1144" s="394" t="str">
        <f t="shared" si="86"/>
        <v/>
      </c>
      <c r="J1144" s="394" t="str">
        <f t="shared" si="87"/>
        <v/>
      </c>
      <c r="K1144" s="394" t="str">
        <f t="shared" si="88"/>
        <v/>
      </c>
    </row>
    <row r="1145" spans="8:11" x14ac:dyDescent="0.25">
      <c r="H1145" s="394" t="str">
        <f t="shared" si="85"/>
        <v/>
      </c>
      <c r="I1145" s="394" t="str">
        <f t="shared" si="86"/>
        <v/>
      </c>
      <c r="J1145" s="394" t="str">
        <f t="shared" si="87"/>
        <v/>
      </c>
      <c r="K1145" s="394" t="str">
        <f t="shared" si="88"/>
        <v/>
      </c>
    </row>
    <row r="1146" spans="8:11" x14ac:dyDescent="0.25">
      <c r="H1146" s="394" t="str">
        <f t="shared" si="85"/>
        <v/>
      </c>
      <c r="I1146" s="394" t="str">
        <f t="shared" si="86"/>
        <v/>
      </c>
      <c r="J1146" s="394" t="str">
        <f t="shared" si="87"/>
        <v/>
      </c>
      <c r="K1146" s="394" t="str">
        <f t="shared" si="88"/>
        <v/>
      </c>
    </row>
    <row r="1147" spans="8:11" x14ac:dyDescent="0.25">
      <c r="H1147" s="394" t="str">
        <f t="shared" si="85"/>
        <v/>
      </c>
      <c r="I1147" s="394" t="str">
        <f t="shared" si="86"/>
        <v/>
      </c>
      <c r="J1147" s="394" t="str">
        <f t="shared" si="87"/>
        <v/>
      </c>
      <c r="K1147" s="394" t="str">
        <f t="shared" si="88"/>
        <v/>
      </c>
    </row>
    <row r="1148" spans="8:11" x14ac:dyDescent="0.25">
      <c r="H1148" s="394" t="str">
        <f t="shared" si="85"/>
        <v/>
      </c>
      <c r="I1148" s="394" t="str">
        <f t="shared" si="86"/>
        <v/>
      </c>
      <c r="J1148" s="394" t="str">
        <f t="shared" si="87"/>
        <v/>
      </c>
      <c r="K1148" s="394" t="str">
        <f t="shared" si="88"/>
        <v/>
      </c>
    </row>
    <row r="1149" spans="8:11" x14ac:dyDescent="0.25">
      <c r="H1149" s="394" t="str">
        <f t="shared" si="85"/>
        <v/>
      </c>
      <c r="I1149" s="394" t="str">
        <f t="shared" si="86"/>
        <v/>
      </c>
      <c r="J1149" s="394" t="str">
        <f t="shared" si="87"/>
        <v/>
      </c>
      <c r="K1149" s="394" t="str">
        <f t="shared" si="88"/>
        <v/>
      </c>
    </row>
    <row r="1150" spans="8:11" x14ac:dyDescent="0.25">
      <c r="H1150" s="394" t="str">
        <f t="shared" si="85"/>
        <v/>
      </c>
      <c r="I1150" s="394" t="str">
        <f t="shared" si="86"/>
        <v/>
      </c>
      <c r="J1150" s="394" t="str">
        <f t="shared" si="87"/>
        <v/>
      </c>
      <c r="K1150" s="394" t="str">
        <f t="shared" si="88"/>
        <v/>
      </c>
    </row>
    <row r="1151" spans="8:11" x14ac:dyDescent="0.25">
      <c r="H1151" s="394" t="str">
        <f t="shared" si="85"/>
        <v/>
      </c>
      <c r="I1151" s="394" t="str">
        <f t="shared" si="86"/>
        <v/>
      </c>
      <c r="J1151" s="394" t="str">
        <f t="shared" si="87"/>
        <v/>
      </c>
      <c r="K1151" s="394" t="str">
        <f t="shared" si="88"/>
        <v/>
      </c>
    </row>
    <row r="1152" spans="8:11" x14ac:dyDescent="0.25">
      <c r="H1152" s="394" t="str">
        <f t="shared" si="85"/>
        <v/>
      </c>
      <c r="I1152" s="394" t="str">
        <f t="shared" si="86"/>
        <v/>
      </c>
      <c r="J1152" s="394" t="str">
        <f t="shared" si="87"/>
        <v/>
      </c>
      <c r="K1152" s="394" t="str">
        <f t="shared" si="88"/>
        <v/>
      </c>
    </row>
    <row r="1153" spans="8:11" x14ac:dyDescent="0.25">
      <c r="H1153" s="394" t="str">
        <f t="shared" si="85"/>
        <v/>
      </c>
      <c r="I1153" s="394" t="str">
        <f t="shared" si="86"/>
        <v/>
      </c>
      <c r="J1153" s="394" t="str">
        <f t="shared" si="87"/>
        <v/>
      </c>
      <c r="K1153" s="394" t="str">
        <f t="shared" si="88"/>
        <v/>
      </c>
    </row>
    <row r="1154" spans="8:11" x14ac:dyDescent="0.25">
      <c r="H1154" s="394" t="str">
        <f t="shared" si="85"/>
        <v/>
      </c>
      <c r="I1154" s="394" t="str">
        <f t="shared" si="86"/>
        <v/>
      </c>
      <c r="J1154" s="394" t="str">
        <f t="shared" si="87"/>
        <v/>
      </c>
      <c r="K1154" s="394" t="str">
        <f t="shared" si="88"/>
        <v/>
      </c>
    </row>
    <row r="1155" spans="8:11" x14ac:dyDescent="0.25">
      <c r="H1155" s="394" t="str">
        <f t="shared" si="85"/>
        <v/>
      </c>
      <c r="I1155" s="394" t="str">
        <f t="shared" si="86"/>
        <v/>
      </c>
      <c r="J1155" s="394" t="str">
        <f t="shared" si="87"/>
        <v/>
      </c>
      <c r="K1155" s="394" t="str">
        <f t="shared" si="88"/>
        <v/>
      </c>
    </row>
    <row r="1156" spans="8:11" x14ac:dyDescent="0.25">
      <c r="H1156" s="394" t="str">
        <f t="shared" si="85"/>
        <v/>
      </c>
      <c r="I1156" s="394" t="str">
        <f t="shared" si="86"/>
        <v/>
      </c>
      <c r="J1156" s="394" t="str">
        <f t="shared" si="87"/>
        <v/>
      </c>
      <c r="K1156" s="394" t="str">
        <f t="shared" si="88"/>
        <v/>
      </c>
    </row>
    <row r="1157" spans="8:11" x14ac:dyDescent="0.25">
      <c r="H1157" s="394" t="str">
        <f t="shared" si="85"/>
        <v/>
      </c>
      <c r="I1157" s="394" t="str">
        <f t="shared" si="86"/>
        <v/>
      </c>
      <c r="J1157" s="394" t="str">
        <f t="shared" si="87"/>
        <v/>
      </c>
      <c r="K1157" s="394" t="str">
        <f t="shared" si="88"/>
        <v/>
      </c>
    </row>
    <row r="1158" spans="8:11" x14ac:dyDescent="0.25">
      <c r="H1158" s="394" t="str">
        <f t="shared" si="85"/>
        <v/>
      </c>
      <c r="I1158" s="394" t="str">
        <f t="shared" si="86"/>
        <v/>
      </c>
      <c r="J1158" s="394" t="str">
        <f t="shared" si="87"/>
        <v/>
      </c>
      <c r="K1158" s="394" t="str">
        <f t="shared" si="88"/>
        <v/>
      </c>
    </row>
    <row r="1159" spans="8:11" x14ac:dyDescent="0.25">
      <c r="H1159" s="394" t="str">
        <f t="shared" si="85"/>
        <v/>
      </c>
      <c r="I1159" s="394" t="str">
        <f t="shared" si="86"/>
        <v/>
      </c>
      <c r="J1159" s="394" t="str">
        <f t="shared" si="87"/>
        <v/>
      </c>
      <c r="K1159" s="394" t="str">
        <f t="shared" si="88"/>
        <v/>
      </c>
    </row>
    <row r="1160" spans="8:11" x14ac:dyDescent="0.25">
      <c r="H1160" s="394" t="str">
        <f t="shared" si="85"/>
        <v/>
      </c>
      <c r="I1160" s="394" t="str">
        <f t="shared" si="86"/>
        <v/>
      </c>
      <c r="J1160" s="394" t="str">
        <f t="shared" si="87"/>
        <v/>
      </c>
      <c r="K1160" s="394" t="str">
        <f t="shared" si="88"/>
        <v/>
      </c>
    </row>
    <row r="1161" spans="8:11" x14ac:dyDescent="0.25">
      <c r="H1161" s="394" t="str">
        <f t="shared" si="85"/>
        <v/>
      </c>
      <c r="I1161" s="394" t="str">
        <f t="shared" si="86"/>
        <v/>
      </c>
      <c r="J1161" s="394" t="str">
        <f t="shared" si="87"/>
        <v/>
      </c>
      <c r="K1161" s="394" t="str">
        <f t="shared" si="88"/>
        <v/>
      </c>
    </row>
    <row r="1162" spans="8:11" x14ac:dyDescent="0.25">
      <c r="H1162" s="394" t="str">
        <f t="shared" si="85"/>
        <v/>
      </c>
      <c r="I1162" s="394" t="str">
        <f t="shared" si="86"/>
        <v/>
      </c>
      <c r="J1162" s="394" t="str">
        <f t="shared" si="87"/>
        <v/>
      </c>
      <c r="K1162" s="394" t="str">
        <f t="shared" si="88"/>
        <v/>
      </c>
    </row>
    <row r="1163" spans="8:11" x14ac:dyDescent="0.25">
      <c r="H1163" s="394" t="str">
        <f t="shared" si="85"/>
        <v/>
      </c>
      <c r="I1163" s="394" t="str">
        <f t="shared" si="86"/>
        <v/>
      </c>
      <c r="J1163" s="394" t="str">
        <f t="shared" si="87"/>
        <v/>
      </c>
      <c r="K1163" s="394" t="str">
        <f t="shared" si="88"/>
        <v/>
      </c>
    </row>
    <row r="1164" spans="8:11" x14ac:dyDescent="0.25">
      <c r="H1164" s="394" t="str">
        <f t="shared" si="85"/>
        <v/>
      </c>
      <c r="I1164" s="394" t="str">
        <f t="shared" si="86"/>
        <v/>
      </c>
      <c r="J1164" s="394" t="str">
        <f t="shared" si="87"/>
        <v/>
      </c>
      <c r="K1164" s="394" t="str">
        <f t="shared" si="88"/>
        <v/>
      </c>
    </row>
    <row r="1165" spans="8:11" x14ac:dyDescent="0.25">
      <c r="H1165" s="394" t="str">
        <f t="shared" si="85"/>
        <v/>
      </c>
      <c r="I1165" s="394" t="str">
        <f t="shared" si="86"/>
        <v/>
      </c>
      <c r="J1165" s="394" t="str">
        <f t="shared" si="87"/>
        <v/>
      </c>
      <c r="K1165" s="394" t="str">
        <f t="shared" si="88"/>
        <v/>
      </c>
    </row>
    <row r="1166" spans="8:11" x14ac:dyDescent="0.25">
      <c r="H1166" s="394" t="str">
        <f t="shared" si="85"/>
        <v/>
      </c>
      <c r="I1166" s="394" t="str">
        <f t="shared" si="86"/>
        <v/>
      </c>
      <c r="J1166" s="394" t="str">
        <f t="shared" si="87"/>
        <v/>
      </c>
      <c r="K1166" s="394" t="str">
        <f t="shared" si="88"/>
        <v/>
      </c>
    </row>
    <row r="1167" spans="8:11" x14ac:dyDescent="0.25">
      <c r="H1167" s="394" t="str">
        <f t="shared" si="85"/>
        <v/>
      </c>
      <c r="I1167" s="394" t="str">
        <f t="shared" si="86"/>
        <v/>
      </c>
      <c r="J1167" s="394" t="str">
        <f t="shared" si="87"/>
        <v/>
      </c>
      <c r="K1167" s="394" t="str">
        <f t="shared" si="88"/>
        <v/>
      </c>
    </row>
    <row r="1168" spans="8:11" x14ac:dyDescent="0.25">
      <c r="H1168" s="394" t="str">
        <f t="shared" si="85"/>
        <v/>
      </c>
      <c r="I1168" s="394" t="str">
        <f t="shared" si="86"/>
        <v/>
      </c>
      <c r="J1168" s="394" t="str">
        <f t="shared" si="87"/>
        <v/>
      </c>
      <c r="K1168" s="394" t="str">
        <f t="shared" si="88"/>
        <v/>
      </c>
    </row>
    <row r="1169" spans="8:11" x14ac:dyDescent="0.25">
      <c r="H1169" s="394" t="str">
        <f t="shared" si="85"/>
        <v/>
      </c>
      <c r="I1169" s="394" t="str">
        <f t="shared" si="86"/>
        <v/>
      </c>
      <c r="J1169" s="394" t="str">
        <f t="shared" si="87"/>
        <v/>
      </c>
      <c r="K1169" s="394" t="str">
        <f t="shared" si="88"/>
        <v/>
      </c>
    </row>
    <row r="1170" spans="8:11" x14ac:dyDescent="0.25">
      <c r="H1170" s="394" t="str">
        <f t="shared" si="85"/>
        <v/>
      </c>
      <c r="I1170" s="394" t="str">
        <f t="shared" si="86"/>
        <v/>
      </c>
      <c r="J1170" s="394" t="str">
        <f t="shared" si="87"/>
        <v/>
      </c>
      <c r="K1170" s="394" t="str">
        <f t="shared" si="88"/>
        <v/>
      </c>
    </row>
    <row r="1171" spans="8:11" x14ac:dyDescent="0.25">
      <c r="H1171" s="394" t="str">
        <f t="shared" si="85"/>
        <v/>
      </c>
      <c r="I1171" s="394" t="str">
        <f t="shared" si="86"/>
        <v/>
      </c>
      <c r="J1171" s="394" t="str">
        <f t="shared" si="87"/>
        <v/>
      </c>
      <c r="K1171" s="394" t="str">
        <f t="shared" si="88"/>
        <v/>
      </c>
    </row>
    <row r="1172" spans="8:11" x14ac:dyDescent="0.25">
      <c r="H1172" s="394" t="str">
        <f t="shared" si="85"/>
        <v/>
      </c>
      <c r="I1172" s="394" t="str">
        <f t="shared" si="86"/>
        <v/>
      </c>
      <c r="J1172" s="394" t="str">
        <f t="shared" si="87"/>
        <v/>
      </c>
      <c r="K1172" s="394" t="str">
        <f t="shared" si="88"/>
        <v/>
      </c>
    </row>
    <row r="1173" spans="8:11" x14ac:dyDescent="0.25">
      <c r="H1173" s="394" t="str">
        <f t="shared" si="85"/>
        <v/>
      </c>
      <c r="I1173" s="394" t="str">
        <f t="shared" si="86"/>
        <v/>
      </c>
      <c r="J1173" s="394" t="str">
        <f t="shared" si="87"/>
        <v/>
      </c>
      <c r="K1173" s="394" t="str">
        <f t="shared" si="88"/>
        <v/>
      </c>
    </row>
    <row r="1174" spans="8:11" x14ac:dyDescent="0.25">
      <c r="H1174" s="394" t="str">
        <f t="shared" si="85"/>
        <v/>
      </c>
      <c r="I1174" s="394" t="str">
        <f t="shared" si="86"/>
        <v/>
      </c>
      <c r="J1174" s="394" t="str">
        <f t="shared" si="87"/>
        <v/>
      </c>
      <c r="K1174" s="394" t="str">
        <f t="shared" si="88"/>
        <v/>
      </c>
    </row>
    <row r="1175" spans="8:11" x14ac:dyDescent="0.25">
      <c r="H1175" s="394" t="str">
        <f t="shared" si="85"/>
        <v/>
      </c>
      <c r="I1175" s="394" t="str">
        <f t="shared" si="86"/>
        <v/>
      </c>
      <c r="J1175" s="394" t="str">
        <f t="shared" si="87"/>
        <v/>
      </c>
      <c r="K1175" s="394" t="str">
        <f t="shared" si="88"/>
        <v/>
      </c>
    </row>
    <row r="1176" spans="8:11" x14ac:dyDescent="0.25">
      <c r="H1176" s="394" t="str">
        <f t="shared" si="85"/>
        <v/>
      </c>
      <c r="I1176" s="394" t="str">
        <f t="shared" si="86"/>
        <v/>
      </c>
      <c r="J1176" s="394" t="str">
        <f t="shared" si="87"/>
        <v/>
      </c>
      <c r="K1176" s="394" t="str">
        <f t="shared" si="88"/>
        <v/>
      </c>
    </row>
    <row r="1177" spans="8:11" x14ac:dyDescent="0.25">
      <c r="H1177" s="394" t="str">
        <f t="shared" si="85"/>
        <v/>
      </c>
      <c r="I1177" s="394" t="str">
        <f t="shared" si="86"/>
        <v/>
      </c>
      <c r="J1177" s="394" t="str">
        <f t="shared" si="87"/>
        <v/>
      </c>
      <c r="K1177" s="394" t="str">
        <f t="shared" si="88"/>
        <v/>
      </c>
    </row>
    <row r="1178" spans="8:11" x14ac:dyDescent="0.25">
      <c r="H1178" s="394" t="str">
        <f t="shared" si="85"/>
        <v/>
      </c>
      <c r="I1178" s="394" t="str">
        <f t="shared" si="86"/>
        <v/>
      </c>
      <c r="J1178" s="394" t="str">
        <f t="shared" si="87"/>
        <v/>
      </c>
      <c r="K1178" s="394" t="str">
        <f t="shared" si="88"/>
        <v/>
      </c>
    </row>
    <row r="1179" spans="8:11" x14ac:dyDescent="0.25">
      <c r="H1179" s="394" t="str">
        <f t="shared" si="85"/>
        <v/>
      </c>
      <c r="I1179" s="394" t="str">
        <f t="shared" si="86"/>
        <v/>
      </c>
      <c r="J1179" s="394" t="str">
        <f t="shared" si="87"/>
        <v/>
      </c>
      <c r="K1179" s="394" t="str">
        <f t="shared" si="88"/>
        <v/>
      </c>
    </row>
    <row r="1180" spans="8:11" x14ac:dyDescent="0.25">
      <c r="H1180" s="394" t="str">
        <f t="shared" si="85"/>
        <v/>
      </c>
      <c r="I1180" s="394" t="str">
        <f t="shared" si="86"/>
        <v/>
      </c>
      <c r="J1180" s="394" t="str">
        <f t="shared" si="87"/>
        <v/>
      </c>
      <c r="K1180" s="394" t="str">
        <f t="shared" si="88"/>
        <v/>
      </c>
    </row>
    <row r="1181" spans="8:11" x14ac:dyDescent="0.25">
      <c r="H1181" s="394" t="str">
        <f t="shared" si="85"/>
        <v/>
      </c>
      <c r="I1181" s="394" t="str">
        <f t="shared" si="86"/>
        <v/>
      </c>
      <c r="J1181" s="394" t="str">
        <f t="shared" si="87"/>
        <v/>
      </c>
      <c r="K1181" s="394" t="str">
        <f t="shared" si="88"/>
        <v/>
      </c>
    </row>
    <row r="1182" spans="8:11" x14ac:dyDescent="0.25">
      <c r="H1182" s="394" t="str">
        <f t="shared" si="85"/>
        <v/>
      </c>
      <c r="I1182" s="394" t="str">
        <f t="shared" si="86"/>
        <v/>
      </c>
      <c r="J1182" s="394" t="str">
        <f t="shared" si="87"/>
        <v/>
      </c>
      <c r="K1182" s="394" t="str">
        <f t="shared" si="88"/>
        <v/>
      </c>
    </row>
    <row r="1183" spans="8:11" x14ac:dyDescent="0.25">
      <c r="H1183" s="394" t="str">
        <f t="shared" si="85"/>
        <v/>
      </c>
      <c r="I1183" s="394" t="str">
        <f t="shared" si="86"/>
        <v/>
      </c>
      <c r="J1183" s="394" t="str">
        <f t="shared" si="87"/>
        <v/>
      </c>
      <c r="K1183" s="394" t="str">
        <f t="shared" si="88"/>
        <v/>
      </c>
    </row>
    <row r="1184" spans="8:11" x14ac:dyDescent="0.25">
      <c r="H1184" s="394" t="str">
        <f t="shared" si="85"/>
        <v/>
      </c>
      <c r="I1184" s="394" t="str">
        <f t="shared" si="86"/>
        <v/>
      </c>
      <c r="J1184" s="394" t="str">
        <f t="shared" si="87"/>
        <v/>
      </c>
      <c r="K1184" s="394" t="str">
        <f t="shared" si="88"/>
        <v/>
      </c>
    </row>
    <row r="1185" spans="8:11" x14ac:dyDescent="0.25">
      <c r="H1185" s="394" t="str">
        <f t="shared" si="85"/>
        <v/>
      </c>
      <c r="I1185" s="394" t="str">
        <f t="shared" si="86"/>
        <v/>
      </c>
      <c r="J1185" s="394" t="str">
        <f t="shared" si="87"/>
        <v/>
      </c>
      <c r="K1185" s="394" t="str">
        <f t="shared" si="88"/>
        <v/>
      </c>
    </row>
    <row r="1186" spans="8:11" x14ac:dyDescent="0.25">
      <c r="H1186" s="394" t="str">
        <f t="shared" si="85"/>
        <v/>
      </c>
      <c r="I1186" s="394" t="str">
        <f t="shared" si="86"/>
        <v/>
      </c>
      <c r="J1186" s="394" t="str">
        <f t="shared" si="87"/>
        <v/>
      </c>
      <c r="K1186" s="394" t="str">
        <f t="shared" si="88"/>
        <v/>
      </c>
    </row>
    <row r="1187" spans="8:11" x14ac:dyDescent="0.25">
      <c r="H1187" s="394" t="str">
        <f t="shared" si="85"/>
        <v/>
      </c>
      <c r="I1187" s="394" t="str">
        <f t="shared" si="86"/>
        <v/>
      </c>
      <c r="J1187" s="394" t="str">
        <f t="shared" si="87"/>
        <v/>
      </c>
      <c r="K1187" s="394" t="str">
        <f t="shared" si="88"/>
        <v/>
      </c>
    </row>
    <row r="1188" spans="8:11" x14ac:dyDescent="0.25">
      <c r="H1188" s="394" t="str">
        <f t="shared" si="85"/>
        <v/>
      </c>
      <c r="I1188" s="394" t="str">
        <f t="shared" si="86"/>
        <v/>
      </c>
      <c r="J1188" s="394" t="str">
        <f t="shared" si="87"/>
        <v/>
      </c>
      <c r="K1188" s="394" t="str">
        <f t="shared" si="88"/>
        <v/>
      </c>
    </row>
    <row r="1189" spans="8:11" x14ac:dyDescent="0.25">
      <c r="H1189" s="394" t="str">
        <f t="shared" si="85"/>
        <v/>
      </c>
      <c r="I1189" s="394" t="str">
        <f t="shared" si="86"/>
        <v/>
      </c>
      <c r="J1189" s="394" t="str">
        <f t="shared" si="87"/>
        <v/>
      </c>
      <c r="K1189" s="394" t="str">
        <f t="shared" si="88"/>
        <v/>
      </c>
    </row>
    <row r="1190" spans="8:11" x14ac:dyDescent="0.25">
      <c r="H1190" s="394" t="str">
        <f t="shared" si="85"/>
        <v/>
      </c>
      <c r="I1190" s="394" t="str">
        <f t="shared" si="86"/>
        <v/>
      </c>
      <c r="J1190" s="394" t="str">
        <f t="shared" si="87"/>
        <v/>
      </c>
      <c r="K1190" s="394" t="str">
        <f t="shared" si="88"/>
        <v/>
      </c>
    </row>
    <row r="1191" spans="8:11" x14ac:dyDescent="0.25">
      <c r="H1191" s="394" t="str">
        <f t="shared" si="85"/>
        <v/>
      </c>
      <c r="I1191" s="394" t="str">
        <f t="shared" si="86"/>
        <v/>
      </c>
      <c r="J1191" s="394" t="str">
        <f t="shared" si="87"/>
        <v/>
      </c>
      <c r="K1191" s="394" t="str">
        <f t="shared" si="88"/>
        <v/>
      </c>
    </row>
    <row r="1192" spans="8:11" x14ac:dyDescent="0.25">
      <c r="H1192" s="394" t="str">
        <f t="shared" si="85"/>
        <v/>
      </c>
      <c r="I1192" s="394" t="str">
        <f t="shared" si="86"/>
        <v/>
      </c>
      <c r="J1192" s="394" t="str">
        <f t="shared" si="87"/>
        <v/>
      </c>
      <c r="K1192" s="394" t="str">
        <f t="shared" si="88"/>
        <v/>
      </c>
    </row>
    <row r="1193" spans="8:11" x14ac:dyDescent="0.25">
      <c r="H1193" s="394" t="str">
        <f t="shared" ref="H1193:H1256" si="89">IF($C215="","",ROUND(($B$2*$F215*($B$5/1000))/$B$6,2))</f>
        <v/>
      </c>
      <c r="I1193" s="394" t="str">
        <f t="shared" ref="I1193:I1256" si="90">IF($C215="","",ROUND(($B$3*$F215*($B$5/1000))/$B$6,2))</f>
        <v/>
      </c>
      <c r="J1193" s="394" t="str">
        <f t="shared" ref="J1193:J1256" si="91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92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89"/>
        <v/>
      </c>
      <c r="I1194" s="394" t="str">
        <f t="shared" si="90"/>
        <v/>
      </c>
      <c r="J1194" s="394" t="str">
        <f t="shared" si="91"/>
        <v/>
      </c>
      <c r="K1194" s="394" t="str">
        <f t="shared" si="92"/>
        <v/>
      </c>
    </row>
    <row r="1195" spans="8:11" x14ac:dyDescent="0.25">
      <c r="H1195" s="394" t="str">
        <f t="shared" si="89"/>
        <v/>
      </c>
      <c r="I1195" s="394" t="str">
        <f t="shared" si="90"/>
        <v/>
      </c>
      <c r="J1195" s="394" t="str">
        <f t="shared" si="91"/>
        <v/>
      </c>
      <c r="K1195" s="394" t="str">
        <f t="shared" si="92"/>
        <v/>
      </c>
    </row>
    <row r="1196" spans="8:11" x14ac:dyDescent="0.25">
      <c r="H1196" s="394" t="str">
        <f t="shared" si="89"/>
        <v/>
      </c>
      <c r="I1196" s="394" t="str">
        <f t="shared" si="90"/>
        <v/>
      </c>
      <c r="J1196" s="394" t="str">
        <f t="shared" si="91"/>
        <v/>
      </c>
      <c r="K1196" s="394" t="str">
        <f t="shared" si="92"/>
        <v/>
      </c>
    </row>
    <row r="1197" spans="8:11" x14ac:dyDescent="0.25">
      <c r="H1197" s="394" t="str">
        <f t="shared" si="89"/>
        <v/>
      </c>
      <c r="I1197" s="394" t="str">
        <f t="shared" si="90"/>
        <v/>
      </c>
      <c r="J1197" s="394" t="str">
        <f t="shared" si="91"/>
        <v/>
      </c>
      <c r="K1197" s="394" t="str">
        <f t="shared" si="92"/>
        <v/>
      </c>
    </row>
    <row r="1198" spans="8:11" x14ac:dyDescent="0.25">
      <c r="H1198" s="394" t="str">
        <f t="shared" si="89"/>
        <v/>
      </c>
      <c r="I1198" s="394" t="str">
        <f t="shared" si="90"/>
        <v/>
      </c>
      <c r="J1198" s="394" t="str">
        <f t="shared" si="91"/>
        <v/>
      </c>
      <c r="K1198" s="394" t="str">
        <f t="shared" si="92"/>
        <v/>
      </c>
    </row>
    <row r="1199" spans="8:11" x14ac:dyDescent="0.25">
      <c r="H1199" s="394" t="str">
        <f t="shared" si="89"/>
        <v/>
      </c>
      <c r="I1199" s="394" t="str">
        <f t="shared" si="90"/>
        <v/>
      </c>
      <c r="J1199" s="394" t="str">
        <f t="shared" si="91"/>
        <v/>
      </c>
      <c r="K1199" s="394" t="str">
        <f t="shared" si="92"/>
        <v/>
      </c>
    </row>
    <row r="1200" spans="8:11" x14ac:dyDescent="0.25">
      <c r="H1200" s="394" t="str">
        <f t="shared" si="89"/>
        <v/>
      </c>
      <c r="I1200" s="394" t="str">
        <f t="shared" si="90"/>
        <v/>
      </c>
      <c r="J1200" s="394" t="str">
        <f t="shared" si="91"/>
        <v/>
      </c>
      <c r="K1200" s="394" t="str">
        <f t="shared" si="92"/>
        <v/>
      </c>
    </row>
    <row r="1201" spans="8:11" x14ac:dyDescent="0.25">
      <c r="H1201" s="394" t="str">
        <f t="shared" si="89"/>
        <v/>
      </c>
      <c r="I1201" s="394" t="str">
        <f t="shared" si="90"/>
        <v/>
      </c>
      <c r="J1201" s="394" t="str">
        <f t="shared" si="91"/>
        <v/>
      </c>
      <c r="K1201" s="394" t="str">
        <f t="shared" si="92"/>
        <v/>
      </c>
    </row>
    <row r="1202" spans="8:11" x14ac:dyDescent="0.25">
      <c r="H1202" s="394" t="str">
        <f t="shared" si="89"/>
        <v/>
      </c>
      <c r="I1202" s="394" t="str">
        <f t="shared" si="90"/>
        <v/>
      </c>
      <c r="J1202" s="394" t="str">
        <f t="shared" si="91"/>
        <v/>
      </c>
      <c r="K1202" s="394" t="str">
        <f t="shared" si="92"/>
        <v/>
      </c>
    </row>
    <row r="1203" spans="8:11" x14ac:dyDescent="0.25">
      <c r="H1203" s="394" t="str">
        <f t="shared" si="89"/>
        <v/>
      </c>
      <c r="I1203" s="394" t="str">
        <f t="shared" si="90"/>
        <v/>
      </c>
      <c r="J1203" s="394" t="str">
        <f t="shared" si="91"/>
        <v/>
      </c>
      <c r="K1203" s="394" t="str">
        <f t="shared" si="92"/>
        <v/>
      </c>
    </row>
    <row r="1204" spans="8:11" x14ac:dyDescent="0.25">
      <c r="H1204" s="394" t="str">
        <f t="shared" si="89"/>
        <v/>
      </c>
      <c r="I1204" s="394" t="str">
        <f t="shared" si="90"/>
        <v/>
      </c>
      <c r="J1204" s="394" t="str">
        <f t="shared" si="91"/>
        <v/>
      </c>
      <c r="K1204" s="394" t="str">
        <f t="shared" si="92"/>
        <v/>
      </c>
    </row>
    <row r="1205" spans="8:11" x14ac:dyDescent="0.25">
      <c r="H1205" s="394" t="str">
        <f t="shared" si="89"/>
        <v/>
      </c>
      <c r="I1205" s="394" t="str">
        <f t="shared" si="90"/>
        <v/>
      </c>
      <c r="J1205" s="394" t="str">
        <f t="shared" si="91"/>
        <v/>
      </c>
      <c r="K1205" s="394" t="str">
        <f t="shared" si="92"/>
        <v/>
      </c>
    </row>
    <row r="1206" spans="8:11" x14ac:dyDescent="0.25">
      <c r="H1206" s="394" t="str">
        <f t="shared" si="89"/>
        <v/>
      </c>
      <c r="I1206" s="394" t="str">
        <f t="shared" si="90"/>
        <v/>
      </c>
      <c r="J1206" s="394" t="str">
        <f t="shared" si="91"/>
        <v/>
      </c>
      <c r="K1206" s="394" t="str">
        <f t="shared" si="92"/>
        <v/>
      </c>
    </row>
    <row r="1207" spans="8:11" x14ac:dyDescent="0.25">
      <c r="H1207" s="394" t="str">
        <f t="shared" si="89"/>
        <v/>
      </c>
      <c r="I1207" s="394" t="str">
        <f t="shared" si="90"/>
        <v/>
      </c>
      <c r="J1207" s="394" t="str">
        <f t="shared" si="91"/>
        <v/>
      </c>
      <c r="K1207" s="394" t="str">
        <f t="shared" si="92"/>
        <v/>
      </c>
    </row>
    <row r="1208" spans="8:11" x14ac:dyDescent="0.25">
      <c r="H1208" s="394" t="str">
        <f t="shared" si="89"/>
        <v/>
      </c>
      <c r="I1208" s="394" t="str">
        <f t="shared" si="90"/>
        <v/>
      </c>
      <c r="J1208" s="394" t="str">
        <f t="shared" si="91"/>
        <v/>
      </c>
      <c r="K1208" s="394" t="str">
        <f t="shared" si="92"/>
        <v/>
      </c>
    </row>
    <row r="1209" spans="8:11" x14ac:dyDescent="0.25">
      <c r="H1209" s="394" t="str">
        <f t="shared" si="89"/>
        <v/>
      </c>
      <c r="I1209" s="394" t="str">
        <f t="shared" si="90"/>
        <v/>
      </c>
      <c r="J1209" s="394" t="str">
        <f t="shared" si="91"/>
        <v/>
      </c>
      <c r="K1209" s="394" t="str">
        <f t="shared" si="92"/>
        <v/>
      </c>
    </row>
    <row r="1210" spans="8:11" x14ac:dyDescent="0.25">
      <c r="H1210" s="394" t="str">
        <f t="shared" si="89"/>
        <v/>
      </c>
      <c r="I1210" s="394" t="str">
        <f t="shared" si="90"/>
        <v/>
      </c>
      <c r="J1210" s="394" t="str">
        <f t="shared" si="91"/>
        <v/>
      </c>
      <c r="K1210" s="394" t="str">
        <f t="shared" si="92"/>
        <v/>
      </c>
    </row>
    <row r="1211" spans="8:11" x14ac:dyDescent="0.25">
      <c r="H1211" s="394" t="str">
        <f t="shared" si="89"/>
        <v/>
      </c>
      <c r="I1211" s="394" t="str">
        <f t="shared" si="90"/>
        <v/>
      </c>
      <c r="J1211" s="394" t="str">
        <f t="shared" si="91"/>
        <v/>
      </c>
      <c r="K1211" s="394" t="str">
        <f t="shared" si="92"/>
        <v/>
      </c>
    </row>
    <row r="1212" spans="8:11" x14ac:dyDescent="0.25">
      <c r="H1212" s="394" t="str">
        <f t="shared" si="89"/>
        <v/>
      </c>
      <c r="I1212" s="394" t="str">
        <f t="shared" si="90"/>
        <v/>
      </c>
      <c r="J1212" s="394" t="str">
        <f t="shared" si="91"/>
        <v/>
      </c>
      <c r="K1212" s="394" t="str">
        <f t="shared" si="92"/>
        <v/>
      </c>
    </row>
    <row r="1213" spans="8:11" x14ac:dyDescent="0.25">
      <c r="H1213" s="394" t="str">
        <f t="shared" si="89"/>
        <v/>
      </c>
      <c r="I1213" s="394" t="str">
        <f t="shared" si="90"/>
        <v/>
      </c>
      <c r="J1213" s="394" t="str">
        <f t="shared" si="91"/>
        <v/>
      </c>
      <c r="K1213" s="394" t="str">
        <f t="shared" si="92"/>
        <v/>
      </c>
    </row>
    <row r="1214" spans="8:11" x14ac:dyDescent="0.25">
      <c r="H1214" s="394" t="str">
        <f t="shared" si="89"/>
        <v/>
      </c>
      <c r="I1214" s="394" t="str">
        <f t="shared" si="90"/>
        <v/>
      </c>
      <c r="J1214" s="394" t="str">
        <f t="shared" si="91"/>
        <v/>
      </c>
      <c r="K1214" s="394" t="str">
        <f t="shared" si="92"/>
        <v/>
      </c>
    </row>
    <row r="1215" spans="8:11" x14ac:dyDescent="0.25">
      <c r="H1215" s="394" t="str">
        <f t="shared" si="89"/>
        <v/>
      </c>
      <c r="I1215" s="394" t="str">
        <f t="shared" si="90"/>
        <v/>
      </c>
      <c r="J1215" s="394" t="str">
        <f t="shared" si="91"/>
        <v/>
      </c>
      <c r="K1215" s="394" t="str">
        <f t="shared" si="92"/>
        <v/>
      </c>
    </row>
    <row r="1216" spans="8:11" x14ac:dyDescent="0.25">
      <c r="H1216" s="394" t="str">
        <f t="shared" si="89"/>
        <v/>
      </c>
      <c r="I1216" s="394" t="str">
        <f t="shared" si="90"/>
        <v/>
      </c>
      <c r="J1216" s="394" t="str">
        <f t="shared" si="91"/>
        <v/>
      </c>
      <c r="K1216" s="394" t="str">
        <f t="shared" si="92"/>
        <v/>
      </c>
    </row>
    <row r="1217" spans="8:11" x14ac:dyDescent="0.25">
      <c r="H1217" s="394" t="str">
        <f t="shared" si="89"/>
        <v/>
      </c>
      <c r="I1217" s="394" t="str">
        <f t="shared" si="90"/>
        <v/>
      </c>
      <c r="J1217" s="394" t="str">
        <f t="shared" si="91"/>
        <v/>
      </c>
      <c r="K1217" s="394" t="str">
        <f t="shared" si="92"/>
        <v/>
      </c>
    </row>
    <row r="1218" spans="8:11" x14ac:dyDescent="0.25">
      <c r="H1218" s="394" t="str">
        <f t="shared" si="89"/>
        <v/>
      </c>
      <c r="I1218" s="394" t="str">
        <f t="shared" si="90"/>
        <v/>
      </c>
      <c r="J1218" s="394" t="str">
        <f t="shared" si="91"/>
        <v/>
      </c>
      <c r="K1218" s="394" t="str">
        <f t="shared" si="92"/>
        <v/>
      </c>
    </row>
    <row r="1219" spans="8:11" x14ac:dyDescent="0.25">
      <c r="H1219" s="394" t="str">
        <f t="shared" si="89"/>
        <v/>
      </c>
      <c r="I1219" s="394" t="str">
        <f t="shared" si="90"/>
        <v/>
      </c>
      <c r="J1219" s="394" t="str">
        <f t="shared" si="91"/>
        <v/>
      </c>
      <c r="K1219" s="394" t="str">
        <f t="shared" si="92"/>
        <v/>
      </c>
    </row>
    <row r="1220" spans="8:11" x14ac:dyDescent="0.25">
      <c r="H1220" s="394" t="str">
        <f t="shared" si="89"/>
        <v/>
      </c>
      <c r="I1220" s="394" t="str">
        <f t="shared" si="90"/>
        <v/>
      </c>
      <c r="J1220" s="394" t="str">
        <f t="shared" si="91"/>
        <v/>
      </c>
      <c r="K1220" s="394" t="str">
        <f t="shared" si="92"/>
        <v/>
      </c>
    </row>
    <row r="1221" spans="8:11" x14ac:dyDescent="0.25">
      <c r="H1221" s="394" t="str">
        <f t="shared" si="89"/>
        <v/>
      </c>
      <c r="I1221" s="394" t="str">
        <f t="shared" si="90"/>
        <v/>
      </c>
      <c r="J1221" s="394" t="str">
        <f t="shared" si="91"/>
        <v/>
      </c>
      <c r="K1221" s="394" t="str">
        <f t="shared" si="92"/>
        <v/>
      </c>
    </row>
    <row r="1222" spans="8:11" x14ac:dyDescent="0.25">
      <c r="H1222" s="394" t="str">
        <f t="shared" si="89"/>
        <v/>
      </c>
      <c r="I1222" s="394" t="str">
        <f t="shared" si="90"/>
        <v/>
      </c>
      <c r="J1222" s="394" t="str">
        <f t="shared" si="91"/>
        <v/>
      </c>
      <c r="K1222" s="394" t="str">
        <f t="shared" si="92"/>
        <v/>
      </c>
    </row>
    <row r="1223" spans="8:11" x14ac:dyDescent="0.25">
      <c r="H1223" s="394" t="str">
        <f t="shared" si="89"/>
        <v/>
      </c>
      <c r="I1223" s="394" t="str">
        <f t="shared" si="90"/>
        <v/>
      </c>
      <c r="J1223" s="394" t="str">
        <f t="shared" si="91"/>
        <v/>
      </c>
      <c r="K1223" s="394" t="str">
        <f t="shared" si="92"/>
        <v/>
      </c>
    </row>
    <row r="1224" spans="8:11" x14ac:dyDescent="0.25">
      <c r="H1224" s="394" t="str">
        <f t="shared" si="89"/>
        <v/>
      </c>
      <c r="I1224" s="394" t="str">
        <f t="shared" si="90"/>
        <v/>
      </c>
      <c r="J1224" s="394" t="str">
        <f t="shared" si="91"/>
        <v/>
      </c>
      <c r="K1224" s="394" t="str">
        <f t="shared" si="92"/>
        <v/>
      </c>
    </row>
    <row r="1225" spans="8:11" x14ac:dyDescent="0.25">
      <c r="H1225" s="394" t="str">
        <f t="shared" si="89"/>
        <v/>
      </c>
      <c r="I1225" s="394" t="str">
        <f t="shared" si="90"/>
        <v/>
      </c>
      <c r="J1225" s="394" t="str">
        <f t="shared" si="91"/>
        <v/>
      </c>
      <c r="K1225" s="394" t="str">
        <f t="shared" si="92"/>
        <v/>
      </c>
    </row>
    <row r="1226" spans="8:11" x14ac:dyDescent="0.25">
      <c r="H1226" s="394" t="str">
        <f t="shared" si="89"/>
        <v/>
      </c>
      <c r="I1226" s="394" t="str">
        <f t="shared" si="90"/>
        <v/>
      </c>
      <c r="J1226" s="394" t="str">
        <f t="shared" si="91"/>
        <v/>
      </c>
      <c r="K1226" s="394" t="str">
        <f t="shared" si="92"/>
        <v/>
      </c>
    </row>
    <row r="1227" spans="8:11" x14ac:dyDescent="0.25">
      <c r="H1227" s="394" t="str">
        <f t="shared" si="89"/>
        <v/>
      </c>
      <c r="I1227" s="394" t="str">
        <f t="shared" si="90"/>
        <v/>
      </c>
      <c r="J1227" s="394" t="str">
        <f t="shared" si="91"/>
        <v/>
      </c>
      <c r="K1227" s="394" t="str">
        <f t="shared" si="92"/>
        <v/>
      </c>
    </row>
    <row r="1228" spans="8:11" x14ac:dyDescent="0.25">
      <c r="H1228" s="394" t="str">
        <f t="shared" si="89"/>
        <v/>
      </c>
      <c r="I1228" s="394" t="str">
        <f t="shared" si="90"/>
        <v/>
      </c>
      <c r="J1228" s="394" t="str">
        <f t="shared" si="91"/>
        <v/>
      </c>
      <c r="K1228" s="394" t="str">
        <f t="shared" si="92"/>
        <v/>
      </c>
    </row>
    <row r="1229" spans="8:11" x14ac:dyDescent="0.25">
      <c r="H1229" s="394" t="str">
        <f t="shared" si="89"/>
        <v/>
      </c>
      <c r="I1229" s="394" t="str">
        <f t="shared" si="90"/>
        <v/>
      </c>
      <c r="J1229" s="394" t="str">
        <f t="shared" si="91"/>
        <v/>
      </c>
      <c r="K1229" s="394" t="str">
        <f t="shared" si="92"/>
        <v/>
      </c>
    </row>
    <row r="1230" spans="8:11" x14ac:dyDescent="0.25">
      <c r="H1230" s="394" t="str">
        <f t="shared" si="89"/>
        <v/>
      </c>
      <c r="I1230" s="394" t="str">
        <f t="shared" si="90"/>
        <v/>
      </c>
      <c r="J1230" s="394" t="str">
        <f t="shared" si="91"/>
        <v/>
      </c>
      <c r="K1230" s="394" t="str">
        <f t="shared" si="92"/>
        <v/>
      </c>
    </row>
    <row r="1231" spans="8:11" x14ac:dyDescent="0.25">
      <c r="H1231" s="394" t="str">
        <f t="shared" si="89"/>
        <v/>
      </c>
      <c r="I1231" s="394" t="str">
        <f t="shared" si="90"/>
        <v/>
      </c>
      <c r="J1231" s="394" t="str">
        <f t="shared" si="91"/>
        <v/>
      </c>
      <c r="K1231" s="394" t="str">
        <f t="shared" si="92"/>
        <v/>
      </c>
    </row>
    <row r="1232" spans="8:11" x14ac:dyDescent="0.25">
      <c r="H1232" s="394" t="str">
        <f t="shared" si="89"/>
        <v/>
      </c>
      <c r="I1232" s="394" t="str">
        <f t="shared" si="90"/>
        <v/>
      </c>
      <c r="J1232" s="394" t="str">
        <f t="shared" si="91"/>
        <v/>
      </c>
      <c r="K1232" s="394" t="str">
        <f t="shared" si="92"/>
        <v/>
      </c>
    </row>
    <row r="1233" spans="8:11" x14ac:dyDescent="0.25">
      <c r="H1233" s="394" t="str">
        <f t="shared" si="89"/>
        <v/>
      </c>
      <c r="I1233" s="394" t="str">
        <f t="shared" si="90"/>
        <v/>
      </c>
      <c r="J1233" s="394" t="str">
        <f t="shared" si="91"/>
        <v/>
      </c>
      <c r="K1233" s="394" t="str">
        <f t="shared" si="92"/>
        <v/>
      </c>
    </row>
    <row r="1234" spans="8:11" x14ac:dyDescent="0.25">
      <c r="H1234" s="394" t="str">
        <f t="shared" si="89"/>
        <v/>
      </c>
      <c r="I1234" s="394" t="str">
        <f t="shared" si="90"/>
        <v/>
      </c>
      <c r="J1234" s="394" t="str">
        <f t="shared" si="91"/>
        <v/>
      </c>
      <c r="K1234" s="394" t="str">
        <f t="shared" si="92"/>
        <v/>
      </c>
    </row>
    <row r="1235" spans="8:11" x14ac:dyDescent="0.25">
      <c r="H1235" s="394" t="str">
        <f t="shared" si="89"/>
        <v/>
      </c>
      <c r="I1235" s="394" t="str">
        <f t="shared" si="90"/>
        <v/>
      </c>
      <c r="J1235" s="394" t="str">
        <f t="shared" si="91"/>
        <v/>
      </c>
      <c r="K1235" s="394" t="str">
        <f t="shared" si="92"/>
        <v/>
      </c>
    </row>
    <row r="1236" spans="8:11" x14ac:dyDescent="0.25">
      <c r="H1236" s="394" t="str">
        <f t="shared" si="89"/>
        <v/>
      </c>
      <c r="I1236" s="394" t="str">
        <f t="shared" si="90"/>
        <v/>
      </c>
      <c r="J1236" s="394" t="str">
        <f t="shared" si="91"/>
        <v/>
      </c>
      <c r="K1236" s="394" t="str">
        <f t="shared" si="92"/>
        <v/>
      </c>
    </row>
    <row r="1237" spans="8:11" x14ac:dyDescent="0.25">
      <c r="H1237" s="394" t="str">
        <f t="shared" si="89"/>
        <v/>
      </c>
      <c r="I1237" s="394" t="str">
        <f t="shared" si="90"/>
        <v/>
      </c>
      <c r="J1237" s="394" t="str">
        <f t="shared" si="91"/>
        <v/>
      </c>
      <c r="K1237" s="394" t="str">
        <f t="shared" si="92"/>
        <v/>
      </c>
    </row>
    <row r="1238" spans="8:11" x14ac:dyDescent="0.25">
      <c r="H1238" s="394" t="str">
        <f t="shared" si="89"/>
        <v/>
      </c>
      <c r="I1238" s="394" t="str">
        <f t="shared" si="90"/>
        <v/>
      </c>
      <c r="J1238" s="394" t="str">
        <f t="shared" si="91"/>
        <v/>
      </c>
      <c r="K1238" s="394" t="str">
        <f t="shared" si="92"/>
        <v/>
      </c>
    </row>
    <row r="1239" spans="8:11" x14ac:dyDescent="0.25">
      <c r="H1239" s="394" t="str">
        <f t="shared" si="89"/>
        <v/>
      </c>
      <c r="I1239" s="394" t="str">
        <f t="shared" si="90"/>
        <v/>
      </c>
      <c r="J1239" s="394" t="str">
        <f t="shared" si="91"/>
        <v/>
      </c>
      <c r="K1239" s="394" t="str">
        <f t="shared" si="92"/>
        <v/>
      </c>
    </row>
    <row r="1240" spans="8:11" x14ac:dyDescent="0.25">
      <c r="H1240" s="394" t="str">
        <f t="shared" si="89"/>
        <v/>
      </c>
      <c r="I1240" s="394" t="str">
        <f t="shared" si="90"/>
        <v/>
      </c>
      <c r="J1240" s="394" t="str">
        <f t="shared" si="91"/>
        <v/>
      </c>
      <c r="K1240" s="394" t="str">
        <f t="shared" si="92"/>
        <v/>
      </c>
    </row>
    <row r="1241" spans="8:11" x14ac:dyDescent="0.25">
      <c r="H1241" s="394" t="str">
        <f t="shared" si="89"/>
        <v/>
      </c>
      <c r="I1241" s="394" t="str">
        <f t="shared" si="90"/>
        <v/>
      </c>
      <c r="J1241" s="394" t="str">
        <f t="shared" si="91"/>
        <v/>
      </c>
      <c r="K1241" s="394" t="str">
        <f t="shared" si="92"/>
        <v/>
      </c>
    </row>
    <row r="1242" spans="8:11" x14ac:dyDescent="0.25">
      <c r="H1242" s="394" t="str">
        <f t="shared" si="89"/>
        <v/>
      </c>
      <c r="I1242" s="394" t="str">
        <f t="shared" si="90"/>
        <v/>
      </c>
      <c r="J1242" s="394" t="str">
        <f t="shared" si="91"/>
        <v/>
      </c>
      <c r="K1242" s="394" t="str">
        <f t="shared" si="92"/>
        <v/>
      </c>
    </row>
    <row r="1243" spans="8:11" x14ac:dyDescent="0.25">
      <c r="H1243" s="394" t="str">
        <f t="shared" si="89"/>
        <v/>
      </c>
      <c r="I1243" s="394" t="str">
        <f t="shared" si="90"/>
        <v/>
      </c>
      <c r="J1243" s="394" t="str">
        <f t="shared" si="91"/>
        <v/>
      </c>
      <c r="K1243" s="394" t="str">
        <f t="shared" si="92"/>
        <v/>
      </c>
    </row>
    <row r="1244" spans="8:11" x14ac:dyDescent="0.25">
      <c r="H1244" s="394" t="str">
        <f t="shared" si="89"/>
        <v/>
      </c>
      <c r="I1244" s="394" t="str">
        <f t="shared" si="90"/>
        <v/>
      </c>
      <c r="J1244" s="394" t="str">
        <f t="shared" si="91"/>
        <v/>
      </c>
      <c r="K1244" s="394" t="str">
        <f t="shared" si="92"/>
        <v/>
      </c>
    </row>
    <row r="1245" spans="8:11" x14ac:dyDescent="0.25">
      <c r="H1245" s="394" t="str">
        <f t="shared" si="89"/>
        <v/>
      </c>
      <c r="I1245" s="394" t="str">
        <f t="shared" si="90"/>
        <v/>
      </c>
      <c r="J1245" s="394" t="str">
        <f t="shared" si="91"/>
        <v/>
      </c>
      <c r="K1245" s="394" t="str">
        <f t="shared" si="92"/>
        <v/>
      </c>
    </row>
    <row r="1246" spans="8:11" x14ac:dyDescent="0.25">
      <c r="H1246" s="394" t="str">
        <f t="shared" si="89"/>
        <v/>
      </c>
      <c r="I1246" s="394" t="str">
        <f t="shared" si="90"/>
        <v/>
      </c>
      <c r="J1246" s="394" t="str">
        <f t="shared" si="91"/>
        <v/>
      </c>
      <c r="K1246" s="394" t="str">
        <f t="shared" si="92"/>
        <v/>
      </c>
    </row>
    <row r="1247" spans="8:11" x14ac:dyDescent="0.25">
      <c r="H1247" s="394" t="str">
        <f t="shared" si="89"/>
        <v/>
      </c>
      <c r="I1247" s="394" t="str">
        <f t="shared" si="90"/>
        <v/>
      </c>
      <c r="J1247" s="394" t="str">
        <f t="shared" si="91"/>
        <v/>
      </c>
      <c r="K1247" s="394" t="str">
        <f t="shared" si="92"/>
        <v/>
      </c>
    </row>
    <row r="1248" spans="8:11" x14ac:dyDescent="0.25">
      <c r="H1248" s="394" t="str">
        <f t="shared" si="89"/>
        <v/>
      </c>
      <c r="I1248" s="394" t="str">
        <f t="shared" si="90"/>
        <v/>
      </c>
      <c r="J1248" s="394" t="str">
        <f t="shared" si="91"/>
        <v/>
      </c>
      <c r="K1248" s="394" t="str">
        <f t="shared" si="92"/>
        <v/>
      </c>
    </row>
    <row r="1249" spans="8:11" x14ac:dyDescent="0.25">
      <c r="H1249" s="394" t="str">
        <f t="shared" si="89"/>
        <v/>
      </c>
      <c r="I1249" s="394" t="str">
        <f t="shared" si="90"/>
        <v/>
      </c>
      <c r="J1249" s="394" t="str">
        <f t="shared" si="91"/>
        <v/>
      </c>
      <c r="K1249" s="394" t="str">
        <f t="shared" si="92"/>
        <v/>
      </c>
    </row>
    <row r="1250" spans="8:11" x14ac:dyDescent="0.25">
      <c r="H1250" s="394" t="str">
        <f t="shared" si="89"/>
        <v/>
      </c>
      <c r="I1250" s="394" t="str">
        <f t="shared" si="90"/>
        <v/>
      </c>
      <c r="J1250" s="394" t="str">
        <f t="shared" si="91"/>
        <v/>
      </c>
      <c r="K1250" s="394" t="str">
        <f t="shared" si="92"/>
        <v/>
      </c>
    </row>
    <row r="1251" spans="8:11" x14ac:dyDescent="0.25">
      <c r="H1251" s="394" t="str">
        <f t="shared" si="89"/>
        <v/>
      </c>
      <c r="I1251" s="394" t="str">
        <f t="shared" si="90"/>
        <v/>
      </c>
      <c r="J1251" s="394" t="str">
        <f t="shared" si="91"/>
        <v/>
      </c>
      <c r="K1251" s="394" t="str">
        <f t="shared" si="92"/>
        <v/>
      </c>
    </row>
    <row r="1252" spans="8:11" x14ac:dyDescent="0.25">
      <c r="H1252" s="394" t="str">
        <f t="shared" si="89"/>
        <v/>
      </c>
      <c r="I1252" s="394" t="str">
        <f t="shared" si="90"/>
        <v/>
      </c>
      <c r="J1252" s="394" t="str">
        <f t="shared" si="91"/>
        <v/>
      </c>
      <c r="K1252" s="394" t="str">
        <f t="shared" si="92"/>
        <v/>
      </c>
    </row>
    <row r="1253" spans="8:11" x14ac:dyDescent="0.25">
      <c r="H1253" s="394" t="str">
        <f t="shared" si="89"/>
        <v/>
      </c>
      <c r="I1253" s="394" t="str">
        <f t="shared" si="90"/>
        <v/>
      </c>
      <c r="J1253" s="394" t="str">
        <f t="shared" si="91"/>
        <v/>
      </c>
      <c r="K1253" s="394" t="str">
        <f t="shared" si="92"/>
        <v/>
      </c>
    </row>
    <row r="1254" spans="8:11" x14ac:dyDescent="0.25">
      <c r="H1254" s="394" t="str">
        <f t="shared" si="89"/>
        <v/>
      </c>
      <c r="I1254" s="394" t="str">
        <f t="shared" si="90"/>
        <v/>
      </c>
      <c r="J1254" s="394" t="str">
        <f t="shared" si="91"/>
        <v/>
      </c>
      <c r="K1254" s="394" t="str">
        <f t="shared" si="92"/>
        <v/>
      </c>
    </row>
    <row r="1255" spans="8:11" x14ac:dyDescent="0.25">
      <c r="H1255" s="394" t="str">
        <f t="shared" si="89"/>
        <v/>
      </c>
      <c r="I1255" s="394" t="str">
        <f t="shared" si="90"/>
        <v/>
      </c>
      <c r="J1255" s="394" t="str">
        <f t="shared" si="91"/>
        <v/>
      </c>
      <c r="K1255" s="394" t="str">
        <f t="shared" si="92"/>
        <v/>
      </c>
    </row>
    <row r="1256" spans="8:11" x14ac:dyDescent="0.25">
      <c r="H1256" s="394" t="str">
        <f t="shared" si="89"/>
        <v/>
      </c>
      <c r="I1256" s="394" t="str">
        <f t="shared" si="90"/>
        <v/>
      </c>
      <c r="J1256" s="394" t="str">
        <f t="shared" si="91"/>
        <v/>
      </c>
      <c r="K1256" s="394" t="str">
        <f t="shared" si="92"/>
        <v/>
      </c>
    </row>
    <row r="1257" spans="8:11" x14ac:dyDescent="0.25">
      <c r="H1257" s="394" t="str">
        <f t="shared" ref="H1257:H1320" si="93">IF($C279="","",ROUND(($B$2*$F279*($B$5/1000))/$B$6,2))</f>
        <v/>
      </c>
      <c r="I1257" s="394" t="str">
        <f t="shared" ref="I1257:I1320" si="94">IF($C279="","",ROUND(($B$3*$F279*($B$5/1000))/$B$6,2))</f>
        <v/>
      </c>
      <c r="J1257" s="394" t="str">
        <f t="shared" ref="J1257:J1320" si="95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6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93"/>
        <v/>
      </c>
      <c r="I1258" s="394" t="str">
        <f t="shared" si="94"/>
        <v/>
      </c>
      <c r="J1258" s="394" t="str">
        <f t="shared" si="95"/>
        <v/>
      </c>
      <c r="K1258" s="394" t="str">
        <f t="shared" si="96"/>
        <v/>
      </c>
    </row>
    <row r="1259" spans="8:11" x14ac:dyDescent="0.25">
      <c r="H1259" s="394" t="str">
        <f t="shared" si="93"/>
        <v/>
      </c>
      <c r="I1259" s="394" t="str">
        <f t="shared" si="94"/>
        <v/>
      </c>
      <c r="J1259" s="394" t="str">
        <f t="shared" si="95"/>
        <v/>
      </c>
      <c r="K1259" s="394" t="str">
        <f t="shared" si="96"/>
        <v/>
      </c>
    </row>
    <row r="1260" spans="8:11" x14ac:dyDescent="0.25">
      <c r="H1260" s="394" t="str">
        <f t="shared" si="93"/>
        <v/>
      </c>
      <c r="I1260" s="394" t="str">
        <f t="shared" si="94"/>
        <v/>
      </c>
      <c r="J1260" s="394" t="str">
        <f t="shared" si="95"/>
        <v/>
      </c>
      <c r="K1260" s="394" t="str">
        <f t="shared" si="96"/>
        <v/>
      </c>
    </row>
    <row r="1261" spans="8:11" x14ac:dyDescent="0.25">
      <c r="H1261" s="394" t="str">
        <f t="shared" si="93"/>
        <v/>
      </c>
      <c r="I1261" s="394" t="str">
        <f t="shared" si="94"/>
        <v/>
      </c>
      <c r="J1261" s="394" t="str">
        <f t="shared" si="95"/>
        <v/>
      </c>
      <c r="K1261" s="394" t="str">
        <f t="shared" si="96"/>
        <v/>
      </c>
    </row>
    <row r="1262" spans="8:11" x14ac:dyDescent="0.25">
      <c r="H1262" s="394" t="str">
        <f t="shared" si="93"/>
        <v/>
      </c>
      <c r="I1262" s="394" t="str">
        <f t="shared" si="94"/>
        <v/>
      </c>
      <c r="J1262" s="394" t="str">
        <f t="shared" si="95"/>
        <v/>
      </c>
      <c r="K1262" s="394" t="str">
        <f t="shared" si="96"/>
        <v/>
      </c>
    </row>
    <row r="1263" spans="8:11" x14ac:dyDescent="0.25">
      <c r="H1263" s="394" t="str">
        <f t="shared" si="93"/>
        <v/>
      </c>
      <c r="I1263" s="394" t="str">
        <f t="shared" si="94"/>
        <v/>
      </c>
      <c r="J1263" s="394" t="str">
        <f t="shared" si="95"/>
        <v/>
      </c>
      <c r="K1263" s="394" t="str">
        <f t="shared" si="96"/>
        <v/>
      </c>
    </row>
    <row r="1264" spans="8:11" x14ac:dyDescent="0.25">
      <c r="H1264" s="394" t="str">
        <f t="shared" si="93"/>
        <v/>
      </c>
      <c r="I1264" s="394" t="str">
        <f t="shared" si="94"/>
        <v/>
      </c>
      <c r="J1264" s="394" t="str">
        <f t="shared" si="95"/>
        <v/>
      </c>
      <c r="K1264" s="394" t="str">
        <f t="shared" si="96"/>
        <v/>
      </c>
    </row>
    <row r="1265" spans="8:11" x14ac:dyDescent="0.25">
      <c r="H1265" s="394" t="str">
        <f t="shared" si="93"/>
        <v/>
      </c>
      <c r="I1265" s="394" t="str">
        <f t="shared" si="94"/>
        <v/>
      </c>
      <c r="J1265" s="394" t="str">
        <f t="shared" si="95"/>
        <v/>
      </c>
      <c r="K1265" s="394" t="str">
        <f t="shared" si="96"/>
        <v/>
      </c>
    </row>
    <row r="1266" spans="8:11" x14ac:dyDescent="0.25">
      <c r="H1266" s="394" t="str">
        <f t="shared" si="93"/>
        <v/>
      </c>
      <c r="I1266" s="394" t="str">
        <f t="shared" si="94"/>
        <v/>
      </c>
      <c r="J1266" s="394" t="str">
        <f t="shared" si="95"/>
        <v/>
      </c>
      <c r="K1266" s="394" t="str">
        <f t="shared" si="96"/>
        <v/>
      </c>
    </row>
    <row r="1267" spans="8:11" x14ac:dyDescent="0.25">
      <c r="H1267" s="394" t="str">
        <f t="shared" si="93"/>
        <v/>
      </c>
      <c r="I1267" s="394" t="str">
        <f t="shared" si="94"/>
        <v/>
      </c>
      <c r="J1267" s="394" t="str">
        <f t="shared" si="95"/>
        <v/>
      </c>
      <c r="K1267" s="394" t="str">
        <f t="shared" si="96"/>
        <v/>
      </c>
    </row>
    <row r="1268" spans="8:11" x14ac:dyDescent="0.25">
      <c r="H1268" s="394" t="str">
        <f t="shared" si="93"/>
        <v/>
      </c>
      <c r="I1268" s="394" t="str">
        <f t="shared" si="94"/>
        <v/>
      </c>
      <c r="J1268" s="394" t="str">
        <f t="shared" si="95"/>
        <v/>
      </c>
      <c r="K1268" s="394" t="str">
        <f t="shared" si="96"/>
        <v/>
      </c>
    </row>
    <row r="1269" spans="8:11" x14ac:dyDescent="0.25">
      <c r="H1269" s="394" t="str">
        <f t="shared" si="93"/>
        <v/>
      </c>
      <c r="I1269" s="394" t="str">
        <f t="shared" si="94"/>
        <v/>
      </c>
      <c r="J1269" s="394" t="str">
        <f t="shared" si="95"/>
        <v/>
      </c>
      <c r="K1269" s="394" t="str">
        <f t="shared" si="96"/>
        <v/>
      </c>
    </row>
    <row r="1270" spans="8:11" x14ac:dyDescent="0.25">
      <c r="H1270" s="394" t="str">
        <f t="shared" si="93"/>
        <v/>
      </c>
      <c r="I1270" s="394" t="str">
        <f t="shared" si="94"/>
        <v/>
      </c>
      <c r="J1270" s="394" t="str">
        <f t="shared" si="95"/>
        <v/>
      </c>
      <c r="K1270" s="394" t="str">
        <f t="shared" si="96"/>
        <v/>
      </c>
    </row>
    <row r="1271" spans="8:11" x14ac:dyDescent="0.25">
      <c r="H1271" s="394" t="str">
        <f t="shared" si="93"/>
        <v/>
      </c>
      <c r="I1271" s="394" t="str">
        <f t="shared" si="94"/>
        <v/>
      </c>
      <c r="J1271" s="394" t="str">
        <f t="shared" si="95"/>
        <v/>
      </c>
      <c r="K1271" s="394" t="str">
        <f t="shared" si="96"/>
        <v/>
      </c>
    </row>
    <row r="1272" spans="8:11" x14ac:dyDescent="0.25">
      <c r="H1272" s="394" t="str">
        <f t="shared" si="93"/>
        <v/>
      </c>
      <c r="I1272" s="394" t="str">
        <f t="shared" si="94"/>
        <v/>
      </c>
      <c r="J1272" s="394" t="str">
        <f t="shared" si="95"/>
        <v/>
      </c>
      <c r="K1272" s="394" t="str">
        <f t="shared" si="96"/>
        <v/>
      </c>
    </row>
    <row r="1273" spans="8:11" x14ac:dyDescent="0.25">
      <c r="H1273" s="394" t="str">
        <f t="shared" si="93"/>
        <v/>
      </c>
      <c r="I1273" s="394" t="str">
        <f t="shared" si="94"/>
        <v/>
      </c>
      <c r="J1273" s="394" t="str">
        <f t="shared" si="95"/>
        <v/>
      </c>
      <c r="K1273" s="394" t="str">
        <f t="shared" si="96"/>
        <v/>
      </c>
    </row>
    <row r="1274" spans="8:11" x14ac:dyDescent="0.25">
      <c r="H1274" s="394" t="str">
        <f t="shared" si="93"/>
        <v/>
      </c>
      <c r="I1274" s="394" t="str">
        <f t="shared" si="94"/>
        <v/>
      </c>
      <c r="J1274" s="394" t="str">
        <f t="shared" si="95"/>
        <v/>
      </c>
      <c r="K1274" s="394" t="str">
        <f t="shared" si="96"/>
        <v/>
      </c>
    </row>
    <row r="1275" spans="8:11" x14ac:dyDescent="0.25">
      <c r="H1275" s="394" t="str">
        <f t="shared" si="93"/>
        <v/>
      </c>
      <c r="I1275" s="394" t="str">
        <f t="shared" si="94"/>
        <v/>
      </c>
      <c r="J1275" s="394" t="str">
        <f t="shared" si="95"/>
        <v/>
      </c>
      <c r="K1275" s="394" t="str">
        <f t="shared" si="96"/>
        <v/>
      </c>
    </row>
    <row r="1276" spans="8:11" x14ac:dyDescent="0.25">
      <c r="H1276" s="394" t="str">
        <f t="shared" si="93"/>
        <v/>
      </c>
      <c r="I1276" s="394" t="str">
        <f t="shared" si="94"/>
        <v/>
      </c>
      <c r="J1276" s="394" t="str">
        <f t="shared" si="95"/>
        <v/>
      </c>
      <c r="K1276" s="394" t="str">
        <f t="shared" si="96"/>
        <v/>
      </c>
    </row>
    <row r="1277" spans="8:11" x14ac:dyDescent="0.25">
      <c r="H1277" s="394" t="str">
        <f t="shared" si="93"/>
        <v/>
      </c>
      <c r="I1277" s="394" t="str">
        <f t="shared" si="94"/>
        <v/>
      </c>
      <c r="J1277" s="394" t="str">
        <f t="shared" si="95"/>
        <v/>
      </c>
      <c r="K1277" s="394" t="str">
        <f t="shared" si="96"/>
        <v/>
      </c>
    </row>
    <row r="1278" spans="8:11" x14ac:dyDescent="0.25">
      <c r="H1278" s="394" t="str">
        <f t="shared" si="93"/>
        <v/>
      </c>
      <c r="I1278" s="394" t="str">
        <f t="shared" si="94"/>
        <v/>
      </c>
      <c r="J1278" s="394" t="str">
        <f t="shared" si="95"/>
        <v/>
      </c>
      <c r="K1278" s="394" t="str">
        <f t="shared" si="96"/>
        <v/>
      </c>
    </row>
    <row r="1279" spans="8:11" x14ac:dyDescent="0.25">
      <c r="H1279" s="394" t="str">
        <f t="shared" si="93"/>
        <v/>
      </c>
      <c r="I1279" s="394" t="str">
        <f t="shared" si="94"/>
        <v/>
      </c>
      <c r="J1279" s="394" t="str">
        <f t="shared" si="95"/>
        <v/>
      </c>
      <c r="K1279" s="394" t="str">
        <f t="shared" si="96"/>
        <v/>
      </c>
    </row>
    <row r="1280" spans="8:11" x14ac:dyDescent="0.25">
      <c r="H1280" s="394" t="str">
        <f t="shared" si="93"/>
        <v/>
      </c>
      <c r="I1280" s="394" t="str">
        <f t="shared" si="94"/>
        <v/>
      </c>
      <c r="J1280" s="394" t="str">
        <f t="shared" si="95"/>
        <v/>
      </c>
      <c r="K1280" s="394" t="str">
        <f t="shared" si="96"/>
        <v/>
      </c>
    </row>
    <row r="1281" spans="8:11" x14ac:dyDescent="0.25">
      <c r="H1281" s="394" t="str">
        <f t="shared" si="93"/>
        <v/>
      </c>
      <c r="I1281" s="394" t="str">
        <f t="shared" si="94"/>
        <v/>
      </c>
      <c r="J1281" s="394" t="str">
        <f t="shared" si="95"/>
        <v/>
      </c>
      <c r="K1281" s="394" t="str">
        <f t="shared" si="96"/>
        <v/>
      </c>
    </row>
    <row r="1282" spans="8:11" x14ac:dyDescent="0.25">
      <c r="H1282" s="394" t="str">
        <f t="shared" si="93"/>
        <v/>
      </c>
      <c r="I1282" s="394" t="str">
        <f t="shared" si="94"/>
        <v/>
      </c>
      <c r="J1282" s="394" t="str">
        <f t="shared" si="95"/>
        <v/>
      </c>
      <c r="K1282" s="394" t="str">
        <f t="shared" si="96"/>
        <v/>
      </c>
    </row>
    <row r="1283" spans="8:11" x14ac:dyDescent="0.25">
      <c r="H1283" s="394" t="str">
        <f t="shared" si="93"/>
        <v/>
      </c>
      <c r="I1283" s="394" t="str">
        <f t="shared" si="94"/>
        <v/>
      </c>
      <c r="J1283" s="394" t="str">
        <f t="shared" si="95"/>
        <v/>
      </c>
      <c r="K1283" s="394" t="str">
        <f t="shared" si="96"/>
        <v/>
      </c>
    </row>
    <row r="1284" spans="8:11" x14ac:dyDescent="0.25">
      <c r="H1284" s="394" t="str">
        <f t="shared" si="93"/>
        <v/>
      </c>
      <c r="I1284" s="394" t="str">
        <f t="shared" si="94"/>
        <v/>
      </c>
      <c r="J1284" s="394" t="str">
        <f t="shared" si="95"/>
        <v/>
      </c>
      <c r="K1284" s="394" t="str">
        <f t="shared" si="96"/>
        <v/>
      </c>
    </row>
    <row r="1285" spans="8:11" x14ac:dyDescent="0.25">
      <c r="H1285" s="394" t="str">
        <f t="shared" si="93"/>
        <v/>
      </c>
      <c r="I1285" s="394" t="str">
        <f t="shared" si="94"/>
        <v/>
      </c>
      <c r="J1285" s="394" t="str">
        <f t="shared" si="95"/>
        <v/>
      </c>
      <c r="K1285" s="394" t="str">
        <f t="shared" si="96"/>
        <v/>
      </c>
    </row>
    <row r="1286" spans="8:11" x14ac:dyDescent="0.25">
      <c r="H1286" s="394" t="str">
        <f t="shared" si="93"/>
        <v/>
      </c>
      <c r="I1286" s="394" t="str">
        <f t="shared" si="94"/>
        <v/>
      </c>
      <c r="J1286" s="394" t="str">
        <f t="shared" si="95"/>
        <v/>
      </c>
      <c r="K1286" s="394" t="str">
        <f t="shared" si="96"/>
        <v/>
      </c>
    </row>
    <row r="1287" spans="8:11" x14ac:dyDescent="0.25">
      <c r="H1287" s="394" t="str">
        <f t="shared" si="93"/>
        <v/>
      </c>
      <c r="I1287" s="394" t="str">
        <f t="shared" si="94"/>
        <v/>
      </c>
      <c r="J1287" s="394" t="str">
        <f t="shared" si="95"/>
        <v/>
      </c>
      <c r="K1287" s="394" t="str">
        <f t="shared" si="96"/>
        <v/>
      </c>
    </row>
    <row r="1288" spans="8:11" x14ac:dyDescent="0.25">
      <c r="H1288" s="394" t="str">
        <f t="shared" si="93"/>
        <v/>
      </c>
      <c r="I1288" s="394" t="str">
        <f t="shared" si="94"/>
        <v/>
      </c>
      <c r="J1288" s="394" t="str">
        <f t="shared" si="95"/>
        <v/>
      </c>
      <c r="K1288" s="394" t="str">
        <f t="shared" si="96"/>
        <v/>
      </c>
    </row>
    <row r="1289" spans="8:11" x14ac:dyDescent="0.25">
      <c r="H1289" s="394" t="str">
        <f t="shared" si="93"/>
        <v/>
      </c>
      <c r="I1289" s="394" t="str">
        <f t="shared" si="94"/>
        <v/>
      </c>
      <c r="J1289" s="394" t="str">
        <f t="shared" si="95"/>
        <v/>
      </c>
      <c r="K1289" s="394" t="str">
        <f t="shared" si="96"/>
        <v/>
      </c>
    </row>
    <row r="1290" spans="8:11" x14ac:dyDescent="0.25">
      <c r="H1290" s="394" t="str">
        <f t="shared" si="93"/>
        <v/>
      </c>
      <c r="I1290" s="394" t="str">
        <f t="shared" si="94"/>
        <v/>
      </c>
      <c r="J1290" s="394" t="str">
        <f t="shared" si="95"/>
        <v/>
      </c>
      <c r="K1290" s="394" t="str">
        <f t="shared" si="96"/>
        <v/>
      </c>
    </row>
    <row r="1291" spans="8:11" x14ac:dyDescent="0.25">
      <c r="H1291" s="394" t="str">
        <f t="shared" si="93"/>
        <v/>
      </c>
      <c r="I1291" s="394" t="str">
        <f t="shared" si="94"/>
        <v/>
      </c>
      <c r="J1291" s="394" t="str">
        <f t="shared" si="95"/>
        <v/>
      </c>
      <c r="K1291" s="394" t="str">
        <f t="shared" si="96"/>
        <v/>
      </c>
    </row>
    <row r="1292" spans="8:11" x14ac:dyDescent="0.25">
      <c r="H1292" s="394" t="str">
        <f t="shared" si="93"/>
        <v/>
      </c>
      <c r="I1292" s="394" t="str">
        <f t="shared" si="94"/>
        <v/>
      </c>
      <c r="J1292" s="394" t="str">
        <f t="shared" si="95"/>
        <v/>
      </c>
      <c r="K1292" s="394" t="str">
        <f t="shared" si="96"/>
        <v/>
      </c>
    </row>
    <row r="1293" spans="8:11" x14ac:dyDescent="0.25">
      <c r="H1293" s="394" t="str">
        <f t="shared" si="93"/>
        <v/>
      </c>
      <c r="I1293" s="394" t="str">
        <f t="shared" si="94"/>
        <v/>
      </c>
      <c r="J1293" s="394" t="str">
        <f t="shared" si="95"/>
        <v/>
      </c>
      <c r="K1293" s="394" t="str">
        <f t="shared" si="96"/>
        <v/>
      </c>
    </row>
    <row r="1294" spans="8:11" x14ac:dyDescent="0.25">
      <c r="H1294" s="394" t="str">
        <f t="shared" si="93"/>
        <v/>
      </c>
      <c r="I1294" s="394" t="str">
        <f t="shared" si="94"/>
        <v/>
      </c>
      <c r="J1294" s="394" t="str">
        <f t="shared" si="95"/>
        <v/>
      </c>
      <c r="K1294" s="394" t="str">
        <f t="shared" si="96"/>
        <v/>
      </c>
    </row>
    <row r="1295" spans="8:11" x14ac:dyDescent="0.25">
      <c r="H1295" s="394" t="str">
        <f t="shared" si="93"/>
        <v/>
      </c>
      <c r="I1295" s="394" t="str">
        <f t="shared" si="94"/>
        <v/>
      </c>
      <c r="J1295" s="394" t="str">
        <f t="shared" si="95"/>
        <v/>
      </c>
      <c r="K1295" s="394" t="str">
        <f t="shared" si="96"/>
        <v/>
      </c>
    </row>
    <row r="1296" spans="8:11" x14ac:dyDescent="0.25">
      <c r="H1296" s="394" t="str">
        <f t="shared" si="93"/>
        <v/>
      </c>
      <c r="I1296" s="394" t="str">
        <f t="shared" si="94"/>
        <v/>
      </c>
      <c r="J1296" s="394" t="str">
        <f t="shared" si="95"/>
        <v/>
      </c>
      <c r="K1296" s="394" t="str">
        <f t="shared" si="96"/>
        <v/>
      </c>
    </row>
    <row r="1297" spans="8:11" x14ac:dyDescent="0.25">
      <c r="H1297" s="394" t="str">
        <f t="shared" si="93"/>
        <v/>
      </c>
      <c r="I1297" s="394" t="str">
        <f t="shared" si="94"/>
        <v/>
      </c>
      <c r="J1297" s="394" t="str">
        <f t="shared" si="95"/>
        <v/>
      </c>
      <c r="K1297" s="394" t="str">
        <f t="shared" si="96"/>
        <v/>
      </c>
    </row>
    <row r="1298" spans="8:11" x14ac:dyDescent="0.25">
      <c r="H1298" s="394" t="str">
        <f t="shared" si="93"/>
        <v/>
      </c>
      <c r="I1298" s="394" t="str">
        <f t="shared" si="94"/>
        <v/>
      </c>
      <c r="J1298" s="394" t="str">
        <f t="shared" si="95"/>
        <v/>
      </c>
      <c r="K1298" s="394" t="str">
        <f t="shared" si="96"/>
        <v/>
      </c>
    </row>
    <row r="1299" spans="8:11" x14ac:dyDescent="0.25">
      <c r="H1299" s="394" t="str">
        <f t="shared" si="93"/>
        <v/>
      </c>
      <c r="I1299" s="394" t="str">
        <f t="shared" si="94"/>
        <v/>
      </c>
      <c r="J1299" s="394" t="str">
        <f t="shared" si="95"/>
        <v/>
      </c>
      <c r="K1299" s="394" t="str">
        <f t="shared" si="96"/>
        <v/>
      </c>
    </row>
    <row r="1300" spans="8:11" x14ac:dyDescent="0.25">
      <c r="H1300" s="394" t="str">
        <f t="shared" si="93"/>
        <v/>
      </c>
      <c r="I1300" s="394" t="str">
        <f t="shared" si="94"/>
        <v/>
      </c>
      <c r="J1300" s="394" t="str">
        <f t="shared" si="95"/>
        <v/>
      </c>
      <c r="K1300" s="394" t="str">
        <f t="shared" si="96"/>
        <v/>
      </c>
    </row>
    <row r="1301" spans="8:11" x14ac:dyDescent="0.25">
      <c r="H1301" s="394" t="str">
        <f t="shared" si="93"/>
        <v/>
      </c>
      <c r="I1301" s="394" t="str">
        <f t="shared" si="94"/>
        <v/>
      </c>
      <c r="J1301" s="394" t="str">
        <f t="shared" si="95"/>
        <v/>
      </c>
      <c r="K1301" s="394" t="str">
        <f t="shared" si="96"/>
        <v/>
      </c>
    </row>
    <row r="1302" spans="8:11" x14ac:dyDescent="0.25">
      <c r="H1302" s="394" t="str">
        <f t="shared" si="93"/>
        <v/>
      </c>
      <c r="I1302" s="394" t="str">
        <f t="shared" si="94"/>
        <v/>
      </c>
      <c r="J1302" s="394" t="str">
        <f t="shared" si="95"/>
        <v/>
      </c>
      <c r="K1302" s="394" t="str">
        <f t="shared" si="96"/>
        <v/>
      </c>
    </row>
    <row r="1303" spans="8:11" x14ac:dyDescent="0.25">
      <c r="H1303" s="394" t="str">
        <f t="shared" si="93"/>
        <v/>
      </c>
      <c r="I1303" s="394" t="str">
        <f t="shared" si="94"/>
        <v/>
      </c>
      <c r="J1303" s="394" t="str">
        <f t="shared" si="95"/>
        <v/>
      </c>
      <c r="K1303" s="394" t="str">
        <f t="shared" si="96"/>
        <v/>
      </c>
    </row>
    <row r="1304" spans="8:11" x14ac:dyDescent="0.25">
      <c r="H1304" s="394" t="str">
        <f t="shared" si="93"/>
        <v/>
      </c>
      <c r="I1304" s="394" t="str">
        <f t="shared" si="94"/>
        <v/>
      </c>
      <c r="J1304" s="394" t="str">
        <f t="shared" si="95"/>
        <v/>
      </c>
      <c r="K1304" s="394" t="str">
        <f t="shared" si="96"/>
        <v/>
      </c>
    </row>
    <row r="1305" spans="8:11" x14ac:dyDescent="0.25">
      <c r="H1305" s="394" t="str">
        <f t="shared" si="93"/>
        <v/>
      </c>
      <c r="I1305" s="394" t="str">
        <f t="shared" si="94"/>
        <v/>
      </c>
      <c r="J1305" s="394" t="str">
        <f t="shared" si="95"/>
        <v/>
      </c>
      <c r="K1305" s="394" t="str">
        <f t="shared" si="96"/>
        <v/>
      </c>
    </row>
    <row r="1306" spans="8:11" x14ac:dyDescent="0.25">
      <c r="H1306" s="394" t="str">
        <f t="shared" si="93"/>
        <v/>
      </c>
      <c r="I1306" s="394" t="str">
        <f t="shared" si="94"/>
        <v/>
      </c>
      <c r="J1306" s="394" t="str">
        <f t="shared" si="95"/>
        <v/>
      </c>
      <c r="K1306" s="394" t="str">
        <f t="shared" si="96"/>
        <v/>
      </c>
    </row>
    <row r="1307" spans="8:11" x14ac:dyDescent="0.25">
      <c r="H1307" s="394" t="str">
        <f t="shared" si="93"/>
        <v/>
      </c>
      <c r="I1307" s="394" t="str">
        <f t="shared" si="94"/>
        <v/>
      </c>
      <c r="J1307" s="394" t="str">
        <f t="shared" si="95"/>
        <v/>
      </c>
      <c r="K1307" s="394" t="str">
        <f t="shared" si="96"/>
        <v/>
      </c>
    </row>
    <row r="1308" spans="8:11" x14ac:dyDescent="0.25">
      <c r="H1308" s="394" t="str">
        <f t="shared" si="93"/>
        <v/>
      </c>
      <c r="I1308" s="394" t="str">
        <f t="shared" si="94"/>
        <v/>
      </c>
      <c r="J1308" s="394" t="str">
        <f t="shared" si="95"/>
        <v/>
      </c>
      <c r="K1308" s="394" t="str">
        <f t="shared" si="96"/>
        <v/>
      </c>
    </row>
    <row r="1309" spans="8:11" x14ac:dyDescent="0.25">
      <c r="H1309" s="394" t="str">
        <f t="shared" si="93"/>
        <v/>
      </c>
      <c r="I1309" s="394" t="str">
        <f t="shared" si="94"/>
        <v/>
      </c>
      <c r="J1309" s="394" t="str">
        <f t="shared" si="95"/>
        <v/>
      </c>
      <c r="K1309" s="394" t="str">
        <f t="shared" si="96"/>
        <v/>
      </c>
    </row>
    <row r="1310" spans="8:11" x14ac:dyDescent="0.25">
      <c r="H1310" s="394" t="str">
        <f t="shared" si="93"/>
        <v/>
      </c>
      <c r="I1310" s="394" t="str">
        <f t="shared" si="94"/>
        <v/>
      </c>
      <c r="J1310" s="394" t="str">
        <f t="shared" si="95"/>
        <v/>
      </c>
      <c r="K1310" s="394" t="str">
        <f t="shared" si="96"/>
        <v/>
      </c>
    </row>
    <row r="1311" spans="8:11" x14ac:dyDescent="0.25">
      <c r="H1311" s="394" t="str">
        <f t="shared" si="93"/>
        <v/>
      </c>
      <c r="I1311" s="394" t="str">
        <f t="shared" si="94"/>
        <v/>
      </c>
      <c r="J1311" s="394" t="str">
        <f t="shared" si="95"/>
        <v/>
      </c>
      <c r="K1311" s="394" t="str">
        <f t="shared" si="96"/>
        <v/>
      </c>
    </row>
    <row r="1312" spans="8:11" x14ac:dyDescent="0.25">
      <c r="H1312" s="394" t="str">
        <f t="shared" si="93"/>
        <v/>
      </c>
      <c r="I1312" s="394" t="str">
        <f t="shared" si="94"/>
        <v/>
      </c>
      <c r="J1312" s="394" t="str">
        <f t="shared" si="95"/>
        <v/>
      </c>
      <c r="K1312" s="394" t="str">
        <f t="shared" si="96"/>
        <v/>
      </c>
    </row>
    <row r="1313" spans="8:11" x14ac:dyDescent="0.25">
      <c r="H1313" s="394" t="str">
        <f t="shared" si="93"/>
        <v/>
      </c>
      <c r="I1313" s="394" t="str">
        <f t="shared" si="94"/>
        <v/>
      </c>
      <c r="J1313" s="394" t="str">
        <f t="shared" si="95"/>
        <v/>
      </c>
      <c r="K1313" s="394" t="str">
        <f t="shared" si="96"/>
        <v/>
      </c>
    </row>
    <row r="1314" spans="8:11" x14ac:dyDescent="0.25">
      <c r="H1314" s="394" t="str">
        <f t="shared" si="93"/>
        <v/>
      </c>
      <c r="I1314" s="394" t="str">
        <f t="shared" si="94"/>
        <v/>
      </c>
      <c r="J1314" s="394" t="str">
        <f t="shared" si="95"/>
        <v/>
      </c>
      <c r="K1314" s="394" t="str">
        <f t="shared" si="96"/>
        <v/>
      </c>
    </row>
    <row r="1315" spans="8:11" x14ac:dyDescent="0.25">
      <c r="H1315" s="394" t="str">
        <f t="shared" si="93"/>
        <v/>
      </c>
      <c r="I1315" s="394" t="str">
        <f t="shared" si="94"/>
        <v/>
      </c>
      <c r="J1315" s="394" t="str">
        <f t="shared" si="95"/>
        <v/>
      </c>
      <c r="K1315" s="394" t="str">
        <f t="shared" si="96"/>
        <v/>
      </c>
    </row>
    <row r="1316" spans="8:11" x14ac:dyDescent="0.25">
      <c r="H1316" s="394" t="str">
        <f t="shared" si="93"/>
        <v/>
      </c>
      <c r="I1316" s="394" t="str">
        <f t="shared" si="94"/>
        <v/>
      </c>
      <c r="J1316" s="394" t="str">
        <f t="shared" si="95"/>
        <v/>
      </c>
      <c r="K1316" s="394" t="str">
        <f t="shared" si="96"/>
        <v/>
      </c>
    </row>
    <row r="1317" spans="8:11" x14ac:dyDescent="0.25">
      <c r="H1317" s="394" t="str">
        <f t="shared" si="93"/>
        <v/>
      </c>
      <c r="I1317" s="394" t="str">
        <f t="shared" si="94"/>
        <v/>
      </c>
      <c r="J1317" s="394" t="str">
        <f t="shared" si="95"/>
        <v/>
      </c>
      <c r="K1317" s="394" t="str">
        <f t="shared" si="96"/>
        <v/>
      </c>
    </row>
    <row r="1318" spans="8:11" x14ac:dyDescent="0.25">
      <c r="H1318" s="394" t="str">
        <f t="shared" si="93"/>
        <v/>
      </c>
      <c r="I1318" s="394" t="str">
        <f t="shared" si="94"/>
        <v/>
      </c>
      <c r="J1318" s="394" t="str">
        <f t="shared" si="95"/>
        <v/>
      </c>
      <c r="K1318" s="394" t="str">
        <f t="shared" si="96"/>
        <v/>
      </c>
    </row>
    <row r="1319" spans="8:11" x14ac:dyDescent="0.25">
      <c r="H1319" s="394" t="str">
        <f t="shared" si="93"/>
        <v/>
      </c>
      <c r="I1319" s="394" t="str">
        <f t="shared" si="94"/>
        <v/>
      </c>
      <c r="J1319" s="394" t="str">
        <f t="shared" si="95"/>
        <v/>
      </c>
      <c r="K1319" s="394" t="str">
        <f t="shared" si="96"/>
        <v/>
      </c>
    </row>
    <row r="1320" spans="8:11" x14ac:dyDescent="0.25">
      <c r="H1320" s="394" t="str">
        <f t="shared" si="93"/>
        <v/>
      </c>
      <c r="I1320" s="394" t="str">
        <f t="shared" si="94"/>
        <v/>
      </c>
      <c r="J1320" s="394" t="str">
        <f t="shared" si="95"/>
        <v/>
      </c>
      <c r="K1320" s="394" t="str">
        <f t="shared" si="96"/>
        <v/>
      </c>
    </row>
    <row r="1321" spans="8:11" x14ac:dyDescent="0.25">
      <c r="H1321" s="394" t="str">
        <f t="shared" ref="H1321:H1384" si="97">IF($C343="","",ROUND(($B$2*$F343*($B$5/1000))/$B$6,2))</f>
        <v/>
      </c>
      <c r="I1321" s="394" t="str">
        <f t="shared" ref="I1321:I1384" si="98">IF($C343="","",ROUND(($B$3*$F343*($B$5/1000))/$B$6,2))</f>
        <v/>
      </c>
      <c r="J1321" s="394" t="str">
        <f t="shared" ref="J1321:J1384" si="99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100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7"/>
        <v/>
      </c>
      <c r="I1322" s="394" t="str">
        <f t="shared" si="98"/>
        <v/>
      </c>
      <c r="J1322" s="394" t="str">
        <f t="shared" si="99"/>
        <v/>
      </c>
      <c r="K1322" s="394" t="str">
        <f t="shared" si="100"/>
        <v/>
      </c>
    </row>
    <row r="1323" spans="8:11" x14ac:dyDescent="0.25">
      <c r="H1323" s="394" t="str">
        <f t="shared" si="97"/>
        <v/>
      </c>
      <c r="I1323" s="394" t="str">
        <f t="shared" si="98"/>
        <v/>
      </c>
      <c r="J1323" s="394" t="str">
        <f t="shared" si="99"/>
        <v/>
      </c>
      <c r="K1323" s="394" t="str">
        <f t="shared" si="100"/>
        <v/>
      </c>
    </row>
    <row r="1324" spans="8:11" x14ac:dyDescent="0.25">
      <c r="H1324" s="394" t="str">
        <f t="shared" si="97"/>
        <v/>
      </c>
      <c r="I1324" s="394" t="str">
        <f t="shared" si="98"/>
        <v/>
      </c>
      <c r="J1324" s="394" t="str">
        <f t="shared" si="99"/>
        <v/>
      </c>
      <c r="K1324" s="394" t="str">
        <f t="shared" si="100"/>
        <v/>
      </c>
    </row>
    <row r="1325" spans="8:11" x14ac:dyDescent="0.25">
      <c r="H1325" s="394" t="str">
        <f t="shared" si="97"/>
        <v/>
      </c>
      <c r="I1325" s="394" t="str">
        <f t="shared" si="98"/>
        <v/>
      </c>
      <c r="J1325" s="394" t="str">
        <f t="shared" si="99"/>
        <v/>
      </c>
      <c r="K1325" s="394" t="str">
        <f t="shared" si="100"/>
        <v/>
      </c>
    </row>
    <row r="1326" spans="8:11" x14ac:dyDescent="0.25">
      <c r="H1326" s="394" t="str">
        <f t="shared" si="97"/>
        <v/>
      </c>
      <c r="I1326" s="394" t="str">
        <f t="shared" si="98"/>
        <v/>
      </c>
      <c r="J1326" s="394" t="str">
        <f t="shared" si="99"/>
        <v/>
      </c>
      <c r="K1326" s="394" t="str">
        <f t="shared" si="100"/>
        <v/>
      </c>
    </row>
    <row r="1327" spans="8:11" x14ac:dyDescent="0.25">
      <c r="H1327" s="394" t="str">
        <f t="shared" si="97"/>
        <v/>
      </c>
      <c r="I1327" s="394" t="str">
        <f t="shared" si="98"/>
        <v/>
      </c>
      <c r="J1327" s="394" t="str">
        <f t="shared" si="99"/>
        <v/>
      </c>
      <c r="K1327" s="394" t="str">
        <f t="shared" si="100"/>
        <v/>
      </c>
    </row>
    <row r="1328" spans="8:11" x14ac:dyDescent="0.25">
      <c r="H1328" s="394" t="str">
        <f t="shared" si="97"/>
        <v/>
      </c>
      <c r="I1328" s="394" t="str">
        <f t="shared" si="98"/>
        <v/>
      </c>
      <c r="J1328" s="394" t="str">
        <f t="shared" si="99"/>
        <v/>
      </c>
      <c r="K1328" s="394" t="str">
        <f t="shared" si="100"/>
        <v/>
      </c>
    </row>
    <row r="1329" spans="8:11" x14ac:dyDescent="0.25">
      <c r="H1329" s="394" t="str">
        <f t="shared" si="97"/>
        <v/>
      </c>
      <c r="I1329" s="394" t="str">
        <f t="shared" si="98"/>
        <v/>
      </c>
      <c r="J1329" s="394" t="str">
        <f t="shared" si="99"/>
        <v/>
      </c>
      <c r="K1329" s="394" t="str">
        <f t="shared" si="100"/>
        <v/>
      </c>
    </row>
    <row r="1330" spans="8:11" x14ac:dyDescent="0.25">
      <c r="H1330" s="394" t="str">
        <f t="shared" si="97"/>
        <v/>
      </c>
      <c r="I1330" s="394" t="str">
        <f t="shared" si="98"/>
        <v/>
      </c>
      <c r="J1330" s="394" t="str">
        <f t="shared" si="99"/>
        <v/>
      </c>
      <c r="K1330" s="394" t="str">
        <f t="shared" si="100"/>
        <v/>
      </c>
    </row>
    <row r="1331" spans="8:11" x14ac:dyDescent="0.25">
      <c r="H1331" s="394" t="str">
        <f t="shared" si="97"/>
        <v/>
      </c>
      <c r="I1331" s="394" t="str">
        <f t="shared" si="98"/>
        <v/>
      </c>
      <c r="J1331" s="394" t="str">
        <f t="shared" si="99"/>
        <v/>
      </c>
      <c r="K1331" s="394" t="str">
        <f t="shared" si="100"/>
        <v/>
      </c>
    </row>
    <row r="1332" spans="8:11" x14ac:dyDescent="0.25">
      <c r="H1332" s="394" t="str">
        <f t="shared" si="97"/>
        <v/>
      </c>
      <c r="I1332" s="394" t="str">
        <f t="shared" si="98"/>
        <v/>
      </c>
      <c r="J1332" s="394" t="str">
        <f t="shared" si="99"/>
        <v/>
      </c>
      <c r="K1332" s="394" t="str">
        <f t="shared" si="100"/>
        <v/>
      </c>
    </row>
    <row r="1333" spans="8:11" x14ac:dyDescent="0.25">
      <c r="H1333" s="394" t="str">
        <f t="shared" si="97"/>
        <v/>
      </c>
      <c r="I1333" s="394" t="str">
        <f t="shared" si="98"/>
        <v/>
      </c>
      <c r="J1333" s="394" t="str">
        <f t="shared" si="99"/>
        <v/>
      </c>
      <c r="K1333" s="394" t="str">
        <f t="shared" si="100"/>
        <v/>
      </c>
    </row>
    <row r="1334" spans="8:11" x14ac:dyDescent="0.25">
      <c r="H1334" s="394" t="str">
        <f t="shared" si="97"/>
        <v/>
      </c>
      <c r="I1334" s="394" t="str">
        <f t="shared" si="98"/>
        <v/>
      </c>
      <c r="J1334" s="394" t="str">
        <f t="shared" si="99"/>
        <v/>
      </c>
      <c r="K1334" s="394" t="str">
        <f t="shared" si="100"/>
        <v/>
      </c>
    </row>
    <row r="1335" spans="8:11" x14ac:dyDescent="0.25">
      <c r="H1335" s="394" t="str">
        <f t="shared" si="97"/>
        <v/>
      </c>
      <c r="I1335" s="394" t="str">
        <f t="shared" si="98"/>
        <v/>
      </c>
      <c r="J1335" s="394" t="str">
        <f t="shared" si="99"/>
        <v/>
      </c>
      <c r="K1335" s="394" t="str">
        <f t="shared" si="100"/>
        <v/>
      </c>
    </row>
    <row r="1336" spans="8:11" x14ac:dyDescent="0.25">
      <c r="H1336" s="394" t="str">
        <f t="shared" si="97"/>
        <v/>
      </c>
      <c r="I1336" s="394" t="str">
        <f t="shared" si="98"/>
        <v/>
      </c>
      <c r="J1336" s="394" t="str">
        <f t="shared" si="99"/>
        <v/>
      </c>
      <c r="K1336" s="394" t="str">
        <f t="shared" si="100"/>
        <v/>
      </c>
    </row>
    <row r="1337" spans="8:11" x14ac:dyDescent="0.25">
      <c r="H1337" s="394" t="str">
        <f t="shared" si="97"/>
        <v/>
      </c>
      <c r="I1337" s="394" t="str">
        <f t="shared" si="98"/>
        <v/>
      </c>
      <c r="J1337" s="394" t="str">
        <f t="shared" si="99"/>
        <v/>
      </c>
      <c r="K1337" s="394" t="str">
        <f t="shared" si="100"/>
        <v/>
      </c>
    </row>
    <row r="1338" spans="8:11" x14ac:dyDescent="0.25">
      <c r="H1338" s="394" t="str">
        <f t="shared" si="97"/>
        <v/>
      </c>
      <c r="I1338" s="394" t="str">
        <f t="shared" si="98"/>
        <v/>
      </c>
      <c r="J1338" s="394" t="str">
        <f t="shared" si="99"/>
        <v/>
      </c>
      <c r="K1338" s="394" t="str">
        <f t="shared" si="100"/>
        <v/>
      </c>
    </row>
    <row r="1339" spans="8:11" x14ac:dyDescent="0.25">
      <c r="H1339" s="394" t="str">
        <f t="shared" si="97"/>
        <v/>
      </c>
      <c r="I1339" s="394" t="str">
        <f t="shared" si="98"/>
        <v/>
      </c>
      <c r="J1339" s="394" t="str">
        <f t="shared" si="99"/>
        <v/>
      </c>
      <c r="K1339" s="394" t="str">
        <f t="shared" si="100"/>
        <v/>
      </c>
    </row>
    <row r="1340" spans="8:11" x14ac:dyDescent="0.25">
      <c r="H1340" s="394" t="str">
        <f t="shared" si="97"/>
        <v/>
      </c>
      <c r="I1340" s="394" t="str">
        <f t="shared" si="98"/>
        <v/>
      </c>
      <c r="J1340" s="394" t="str">
        <f t="shared" si="99"/>
        <v/>
      </c>
      <c r="K1340" s="394" t="str">
        <f t="shared" si="100"/>
        <v/>
      </c>
    </row>
    <row r="1341" spans="8:11" x14ac:dyDescent="0.25">
      <c r="H1341" s="394" t="str">
        <f t="shared" si="97"/>
        <v/>
      </c>
      <c r="I1341" s="394" t="str">
        <f t="shared" si="98"/>
        <v/>
      </c>
      <c r="J1341" s="394" t="str">
        <f t="shared" si="99"/>
        <v/>
      </c>
      <c r="K1341" s="394" t="str">
        <f t="shared" si="100"/>
        <v/>
      </c>
    </row>
    <row r="1342" spans="8:11" x14ac:dyDescent="0.25">
      <c r="H1342" s="394" t="str">
        <f t="shared" si="97"/>
        <v/>
      </c>
      <c r="I1342" s="394" t="str">
        <f t="shared" si="98"/>
        <v/>
      </c>
      <c r="J1342" s="394" t="str">
        <f t="shared" si="99"/>
        <v/>
      </c>
      <c r="K1342" s="394" t="str">
        <f t="shared" si="100"/>
        <v/>
      </c>
    </row>
    <row r="1343" spans="8:11" x14ac:dyDescent="0.25">
      <c r="H1343" s="394" t="str">
        <f t="shared" si="97"/>
        <v/>
      </c>
      <c r="I1343" s="394" t="str">
        <f t="shared" si="98"/>
        <v/>
      </c>
      <c r="J1343" s="394" t="str">
        <f t="shared" si="99"/>
        <v/>
      </c>
      <c r="K1343" s="394" t="str">
        <f t="shared" si="100"/>
        <v/>
      </c>
    </row>
    <row r="1344" spans="8:11" x14ac:dyDescent="0.25">
      <c r="H1344" s="394" t="str">
        <f t="shared" si="97"/>
        <v/>
      </c>
      <c r="I1344" s="394" t="str">
        <f t="shared" si="98"/>
        <v/>
      </c>
      <c r="J1344" s="394" t="str">
        <f t="shared" si="99"/>
        <v/>
      </c>
      <c r="K1344" s="394" t="str">
        <f t="shared" si="100"/>
        <v/>
      </c>
    </row>
    <row r="1345" spans="8:11" x14ac:dyDescent="0.25">
      <c r="H1345" s="394" t="str">
        <f t="shared" si="97"/>
        <v/>
      </c>
      <c r="I1345" s="394" t="str">
        <f t="shared" si="98"/>
        <v/>
      </c>
      <c r="J1345" s="394" t="str">
        <f t="shared" si="99"/>
        <v/>
      </c>
      <c r="K1345" s="394" t="str">
        <f t="shared" si="100"/>
        <v/>
      </c>
    </row>
    <row r="1346" spans="8:11" x14ac:dyDescent="0.25">
      <c r="H1346" s="394" t="str">
        <f t="shared" si="97"/>
        <v/>
      </c>
      <c r="I1346" s="394" t="str">
        <f t="shared" si="98"/>
        <v/>
      </c>
      <c r="J1346" s="394" t="str">
        <f t="shared" si="99"/>
        <v/>
      </c>
      <c r="K1346" s="394" t="str">
        <f t="shared" si="100"/>
        <v/>
      </c>
    </row>
    <row r="1347" spans="8:11" x14ac:dyDescent="0.25">
      <c r="H1347" s="394" t="str">
        <f t="shared" si="97"/>
        <v/>
      </c>
      <c r="I1347" s="394" t="str">
        <f t="shared" si="98"/>
        <v/>
      </c>
      <c r="J1347" s="394" t="str">
        <f t="shared" si="99"/>
        <v/>
      </c>
      <c r="K1347" s="394" t="str">
        <f t="shared" si="100"/>
        <v/>
      </c>
    </row>
    <row r="1348" spans="8:11" x14ac:dyDescent="0.25">
      <c r="H1348" s="394" t="str">
        <f t="shared" si="97"/>
        <v/>
      </c>
      <c r="I1348" s="394" t="str">
        <f t="shared" si="98"/>
        <v/>
      </c>
      <c r="J1348" s="394" t="str">
        <f t="shared" si="99"/>
        <v/>
      </c>
      <c r="K1348" s="394" t="str">
        <f t="shared" si="100"/>
        <v/>
      </c>
    </row>
    <row r="1349" spans="8:11" x14ac:dyDescent="0.25">
      <c r="H1349" s="394" t="str">
        <f t="shared" si="97"/>
        <v/>
      </c>
      <c r="I1349" s="394" t="str">
        <f t="shared" si="98"/>
        <v/>
      </c>
      <c r="J1349" s="394" t="str">
        <f t="shared" si="99"/>
        <v/>
      </c>
      <c r="K1349" s="394" t="str">
        <f t="shared" si="100"/>
        <v/>
      </c>
    </row>
    <row r="1350" spans="8:11" x14ac:dyDescent="0.25">
      <c r="H1350" s="394" t="str">
        <f t="shared" si="97"/>
        <v/>
      </c>
      <c r="I1350" s="394" t="str">
        <f t="shared" si="98"/>
        <v/>
      </c>
      <c r="J1350" s="394" t="str">
        <f t="shared" si="99"/>
        <v/>
      </c>
      <c r="K1350" s="394" t="str">
        <f t="shared" si="100"/>
        <v/>
      </c>
    </row>
    <row r="1351" spans="8:11" x14ac:dyDescent="0.25">
      <c r="H1351" s="394" t="str">
        <f t="shared" si="97"/>
        <v/>
      </c>
      <c r="I1351" s="394" t="str">
        <f t="shared" si="98"/>
        <v/>
      </c>
      <c r="J1351" s="394" t="str">
        <f t="shared" si="99"/>
        <v/>
      </c>
      <c r="K1351" s="394" t="str">
        <f t="shared" si="100"/>
        <v/>
      </c>
    </row>
    <row r="1352" spans="8:11" x14ac:dyDescent="0.25">
      <c r="H1352" s="394" t="str">
        <f t="shared" si="97"/>
        <v/>
      </c>
      <c r="I1352" s="394" t="str">
        <f t="shared" si="98"/>
        <v/>
      </c>
      <c r="J1352" s="394" t="str">
        <f t="shared" si="99"/>
        <v/>
      </c>
      <c r="K1352" s="394" t="str">
        <f t="shared" si="100"/>
        <v/>
      </c>
    </row>
    <row r="1353" spans="8:11" x14ac:dyDescent="0.25">
      <c r="H1353" s="394" t="str">
        <f t="shared" si="97"/>
        <v/>
      </c>
      <c r="I1353" s="394" t="str">
        <f t="shared" si="98"/>
        <v/>
      </c>
      <c r="J1353" s="394" t="str">
        <f t="shared" si="99"/>
        <v/>
      </c>
      <c r="K1353" s="394" t="str">
        <f t="shared" si="100"/>
        <v/>
      </c>
    </row>
    <row r="1354" spans="8:11" x14ac:dyDescent="0.25">
      <c r="H1354" s="394" t="str">
        <f t="shared" si="97"/>
        <v/>
      </c>
      <c r="I1354" s="394" t="str">
        <f t="shared" si="98"/>
        <v/>
      </c>
      <c r="J1354" s="394" t="str">
        <f t="shared" si="99"/>
        <v/>
      </c>
      <c r="K1354" s="394" t="str">
        <f t="shared" si="100"/>
        <v/>
      </c>
    </row>
    <row r="1355" spans="8:11" x14ac:dyDescent="0.25">
      <c r="H1355" s="394" t="str">
        <f t="shared" si="97"/>
        <v/>
      </c>
      <c r="I1355" s="394" t="str">
        <f t="shared" si="98"/>
        <v/>
      </c>
      <c r="J1355" s="394" t="str">
        <f t="shared" si="99"/>
        <v/>
      </c>
      <c r="K1355" s="394" t="str">
        <f t="shared" si="100"/>
        <v/>
      </c>
    </row>
    <row r="1356" spans="8:11" x14ac:dyDescent="0.25">
      <c r="H1356" s="394" t="str">
        <f t="shared" si="97"/>
        <v/>
      </c>
      <c r="I1356" s="394" t="str">
        <f t="shared" si="98"/>
        <v/>
      </c>
      <c r="J1356" s="394" t="str">
        <f t="shared" si="99"/>
        <v/>
      </c>
      <c r="K1356" s="394" t="str">
        <f t="shared" si="100"/>
        <v/>
      </c>
    </row>
    <row r="1357" spans="8:11" x14ac:dyDescent="0.25">
      <c r="H1357" s="394" t="str">
        <f t="shared" si="97"/>
        <v/>
      </c>
      <c r="I1357" s="394" t="str">
        <f t="shared" si="98"/>
        <v/>
      </c>
      <c r="J1357" s="394" t="str">
        <f t="shared" si="99"/>
        <v/>
      </c>
      <c r="K1357" s="394" t="str">
        <f t="shared" si="100"/>
        <v/>
      </c>
    </row>
    <row r="1358" spans="8:11" x14ac:dyDescent="0.25">
      <c r="H1358" s="394" t="str">
        <f t="shared" si="97"/>
        <v/>
      </c>
      <c r="I1358" s="394" t="str">
        <f t="shared" si="98"/>
        <v/>
      </c>
      <c r="J1358" s="394" t="str">
        <f t="shared" si="99"/>
        <v/>
      </c>
      <c r="K1358" s="394" t="str">
        <f t="shared" si="100"/>
        <v/>
      </c>
    </row>
    <row r="1359" spans="8:11" x14ac:dyDescent="0.25">
      <c r="H1359" s="394" t="str">
        <f t="shared" si="97"/>
        <v/>
      </c>
      <c r="I1359" s="394" t="str">
        <f t="shared" si="98"/>
        <v/>
      </c>
      <c r="J1359" s="394" t="str">
        <f t="shared" si="99"/>
        <v/>
      </c>
      <c r="K1359" s="394" t="str">
        <f t="shared" si="100"/>
        <v/>
      </c>
    </row>
    <row r="1360" spans="8:11" x14ac:dyDescent="0.25">
      <c r="H1360" s="394" t="str">
        <f t="shared" si="97"/>
        <v/>
      </c>
      <c r="I1360" s="394" t="str">
        <f t="shared" si="98"/>
        <v/>
      </c>
      <c r="J1360" s="394" t="str">
        <f t="shared" si="99"/>
        <v/>
      </c>
      <c r="K1360" s="394" t="str">
        <f t="shared" si="100"/>
        <v/>
      </c>
    </row>
    <row r="1361" spans="8:11" x14ac:dyDescent="0.25">
      <c r="H1361" s="394" t="str">
        <f t="shared" si="97"/>
        <v/>
      </c>
      <c r="I1361" s="394" t="str">
        <f t="shared" si="98"/>
        <v/>
      </c>
      <c r="J1361" s="394" t="str">
        <f t="shared" si="99"/>
        <v/>
      </c>
      <c r="K1361" s="394" t="str">
        <f t="shared" si="100"/>
        <v/>
      </c>
    </row>
    <row r="1362" spans="8:11" x14ac:dyDescent="0.25">
      <c r="H1362" s="394" t="str">
        <f t="shared" si="97"/>
        <v/>
      </c>
      <c r="I1362" s="394" t="str">
        <f t="shared" si="98"/>
        <v/>
      </c>
      <c r="J1362" s="394" t="str">
        <f t="shared" si="99"/>
        <v/>
      </c>
      <c r="K1362" s="394" t="str">
        <f t="shared" si="100"/>
        <v/>
      </c>
    </row>
    <row r="1363" spans="8:11" x14ac:dyDescent="0.25">
      <c r="H1363" s="394" t="str">
        <f t="shared" si="97"/>
        <v/>
      </c>
      <c r="I1363" s="394" t="str">
        <f t="shared" si="98"/>
        <v/>
      </c>
      <c r="J1363" s="394" t="str">
        <f t="shared" si="99"/>
        <v/>
      </c>
      <c r="K1363" s="394" t="str">
        <f t="shared" si="100"/>
        <v/>
      </c>
    </row>
    <row r="1364" spans="8:11" x14ac:dyDescent="0.25">
      <c r="H1364" s="394" t="str">
        <f t="shared" si="97"/>
        <v/>
      </c>
      <c r="I1364" s="394" t="str">
        <f t="shared" si="98"/>
        <v/>
      </c>
      <c r="J1364" s="394" t="str">
        <f t="shared" si="99"/>
        <v/>
      </c>
      <c r="K1364" s="394" t="str">
        <f t="shared" si="100"/>
        <v/>
      </c>
    </row>
    <row r="1365" spans="8:11" x14ac:dyDescent="0.25">
      <c r="H1365" s="394" t="str">
        <f t="shared" si="97"/>
        <v/>
      </c>
      <c r="I1365" s="394" t="str">
        <f t="shared" si="98"/>
        <v/>
      </c>
      <c r="J1365" s="394" t="str">
        <f t="shared" si="99"/>
        <v/>
      </c>
      <c r="K1365" s="394" t="str">
        <f t="shared" si="100"/>
        <v/>
      </c>
    </row>
    <row r="1366" spans="8:11" x14ac:dyDescent="0.25">
      <c r="H1366" s="394" t="str">
        <f t="shared" si="97"/>
        <v/>
      </c>
      <c r="I1366" s="394" t="str">
        <f t="shared" si="98"/>
        <v/>
      </c>
      <c r="J1366" s="394" t="str">
        <f t="shared" si="99"/>
        <v/>
      </c>
      <c r="K1366" s="394" t="str">
        <f t="shared" si="100"/>
        <v/>
      </c>
    </row>
    <row r="1367" spans="8:11" x14ac:dyDescent="0.25">
      <c r="H1367" s="394" t="str">
        <f t="shared" si="97"/>
        <v/>
      </c>
      <c r="I1367" s="394" t="str">
        <f t="shared" si="98"/>
        <v/>
      </c>
      <c r="J1367" s="394" t="str">
        <f t="shared" si="99"/>
        <v/>
      </c>
      <c r="K1367" s="394" t="str">
        <f t="shared" si="100"/>
        <v/>
      </c>
    </row>
    <row r="1368" spans="8:11" x14ac:dyDescent="0.25">
      <c r="H1368" s="394" t="str">
        <f t="shared" si="97"/>
        <v/>
      </c>
      <c r="I1368" s="394" t="str">
        <f t="shared" si="98"/>
        <v/>
      </c>
      <c r="J1368" s="394" t="str">
        <f t="shared" si="99"/>
        <v/>
      </c>
      <c r="K1368" s="394" t="str">
        <f t="shared" si="100"/>
        <v/>
      </c>
    </row>
    <row r="1369" spans="8:11" x14ac:dyDescent="0.25">
      <c r="H1369" s="394" t="str">
        <f t="shared" si="97"/>
        <v/>
      </c>
      <c r="I1369" s="394" t="str">
        <f t="shared" si="98"/>
        <v/>
      </c>
      <c r="J1369" s="394" t="str">
        <f t="shared" si="99"/>
        <v/>
      </c>
      <c r="K1369" s="394" t="str">
        <f t="shared" si="100"/>
        <v/>
      </c>
    </row>
    <row r="1370" spans="8:11" x14ac:dyDescent="0.25">
      <c r="H1370" s="394" t="str">
        <f t="shared" si="97"/>
        <v/>
      </c>
      <c r="I1370" s="394" t="str">
        <f t="shared" si="98"/>
        <v/>
      </c>
      <c r="J1370" s="394" t="str">
        <f t="shared" si="99"/>
        <v/>
      </c>
      <c r="K1370" s="394" t="str">
        <f t="shared" si="100"/>
        <v/>
      </c>
    </row>
    <row r="1371" spans="8:11" x14ac:dyDescent="0.25">
      <c r="H1371" s="394" t="str">
        <f t="shared" si="97"/>
        <v/>
      </c>
      <c r="I1371" s="394" t="str">
        <f t="shared" si="98"/>
        <v/>
      </c>
      <c r="J1371" s="394" t="str">
        <f t="shared" si="99"/>
        <v/>
      </c>
      <c r="K1371" s="394" t="str">
        <f t="shared" si="100"/>
        <v/>
      </c>
    </row>
    <row r="1372" spans="8:11" x14ac:dyDescent="0.25">
      <c r="H1372" s="394" t="str">
        <f t="shared" si="97"/>
        <v/>
      </c>
      <c r="I1372" s="394" t="str">
        <f t="shared" si="98"/>
        <v/>
      </c>
      <c r="J1372" s="394" t="str">
        <f t="shared" si="99"/>
        <v/>
      </c>
      <c r="K1372" s="394" t="str">
        <f t="shared" si="100"/>
        <v/>
      </c>
    </row>
    <row r="1373" spans="8:11" x14ac:dyDescent="0.25">
      <c r="H1373" s="394" t="str">
        <f t="shared" si="97"/>
        <v/>
      </c>
      <c r="I1373" s="394" t="str">
        <f t="shared" si="98"/>
        <v/>
      </c>
      <c r="J1373" s="394" t="str">
        <f t="shared" si="99"/>
        <v/>
      </c>
      <c r="K1373" s="394" t="str">
        <f t="shared" si="100"/>
        <v/>
      </c>
    </row>
    <row r="1374" spans="8:11" x14ac:dyDescent="0.25">
      <c r="H1374" s="394" t="str">
        <f t="shared" si="97"/>
        <v/>
      </c>
      <c r="I1374" s="394" t="str">
        <f t="shared" si="98"/>
        <v/>
      </c>
      <c r="J1374" s="394" t="str">
        <f t="shared" si="99"/>
        <v/>
      </c>
      <c r="K1374" s="394" t="str">
        <f t="shared" si="100"/>
        <v/>
      </c>
    </row>
    <row r="1375" spans="8:11" x14ac:dyDescent="0.25">
      <c r="H1375" s="394" t="str">
        <f t="shared" si="97"/>
        <v/>
      </c>
      <c r="I1375" s="394" t="str">
        <f t="shared" si="98"/>
        <v/>
      </c>
      <c r="J1375" s="394" t="str">
        <f t="shared" si="99"/>
        <v/>
      </c>
      <c r="K1375" s="394" t="str">
        <f t="shared" si="100"/>
        <v/>
      </c>
    </row>
    <row r="1376" spans="8:11" x14ac:dyDescent="0.25">
      <c r="H1376" s="394" t="str">
        <f t="shared" si="97"/>
        <v/>
      </c>
      <c r="I1376" s="394" t="str">
        <f t="shared" si="98"/>
        <v/>
      </c>
      <c r="J1376" s="394" t="str">
        <f t="shared" si="99"/>
        <v/>
      </c>
      <c r="K1376" s="394" t="str">
        <f t="shared" si="100"/>
        <v/>
      </c>
    </row>
    <row r="1377" spans="8:11" x14ac:dyDescent="0.25">
      <c r="H1377" s="394" t="str">
        <f t="shared" si="97"/>
        <v/>
      </c>
      <c r="I1377" s="394" t="str">
        <f t="shared" si="98"/>
        <v/>
      </c>
      <c r="J1377" s="394" t="str">
        <f t="shared" si="99"/>
        <v/>
      </c>
      <c r="K1377" s="394" t="str">
        <f t="shared" si="100"/>
        <v/>
      </c>
    </row>
    <row r="1378" spans="8:11" x14ac:dyDescent="0.25">
      <c r="H1378" s="394" t="str">
        <f t="shared" si="97"/>
        <v/>
      </c>
      <c r="I1378" s="394" t="str">
        <f t="shared" si="98"/>
        <v/>
      </c>
      <c r="J1378" s="394" t="str">
        <f t="shared" si="99"/>
        <v/>
      </c>
      <c r="K1378" s="394" t="str">
        <f t="shared" si="100"/>
        <v/>
      </c>
    </row>
    <row r="1379" spans="8:11" x14ac:dyDescent="0.25">
      <c r="H1379" s="394" t="str">
        <f t="shared" si="97"/>
        <v/>
      </c>
      <c r="I1379" s="394" t="str">
        <f t="shared" si="98"/>
        <v/>
      </c>
      <c r="J1379" s="394" t="str">
        <f t="shared" si="99"/>
        <v/>
      </c>
      <c r="K1379" s="394" t="str">
        <f t="shared" si="100"/>
        <v/>
      </c>
    </row>
    <row r="1380" spans="8:11" x14ac:dyDescent="0.25">
      <c r="H1380" s="394" t="str">
        <f t="shared" si="97"/>
        <v/>
      </c>
      <c r="I1380" s="394" t="str">
        <f t="shared" si="98"/>
        <v/>
      </c>
      <c r="J1380" s="394" t="str">
        <f t="shared" si="99"/>
        <v/>
      </c>
      <c r="K1380" s="394" t="str">
        <f t="shared" si="100"/>
        <v/>
      </c>
    </row>
    <row r="1381" spans="8:11" x14ac:dyDescent="0.25">
      <c r="H1381" s="394" t="str">
        <f t="shared" si="97"/>
        <v/>
      </c>
      <c r="I1381" s="394" t="str">
        <f t="shared" si="98"/>
        <v/>
      </c>
      <c r="J1381" s="394" t="str">
        <f t="shared" si="99"/>
        <v/>
      </c>
      <c r="K1381" s="394" t="str">
        <f t="shared" si="100"/>
        <v/>
      </c>
    </row>
    <row r="1382" spans="8:11" x14ac:dyDescent="0.25">
      <c r="H1382" s="394" t="str">
        <f t="shared" si="97"/>
        <v/>
      </c>
      <c r="I1382" s="394" t="str">
        <f t="shared" si="98"/>
        <v/>
      </c>
      <c r="J1382" s="394" t="str">
        <f t="shared" si="99"/>
        <v/>
      </c>
      <c r="K1382" s="394" t="str">
        <f t="shared" si="100"/>
        <v/>
      </c>
    </row>
    <row r="1383" spans="8:11" x14ac:dyDescent="0.25">
      <c r="H1383" s="394" t="str">
        <f t="shared" si="97"/>
        <v/>
      </c>
      <c r="I1383" s="394" t="str">
        <f t="shared" si="98"/>
        <v/>
      </c>
      <c r="J1383" s="394" t="str">
        <f t="shared" si="99"/>
        <v/>
      </c>
      <c r="K1383" s="394" t="str">
        <f t="shared" si="100"/>
        <v/>
      </c>
    </row>
    <row r="1384" spans="8:11" x14ac:dyDescent="0.25">
      <c r="H1384" s="394" t="str">
        <f t="shared" si="97"/>
        <v/>
      </c>
      <c r="I1384" s="394" t="str">
        <f t="shared" si="98"/>
        <v/>
      </c>
      <c r="J1384" s="394" t="str">
        <f t="shared" si="99"/>
        <v/>
      </c>
      <c r="K1384" s="394" t="str">
        <f t="shared" si="100"/>
        <v/>
      </c>
    </row>
    <row r="1385" spans="8:11" x14ac:dyDescent="0.25">
      <c r="H1385" s="394" t="str">
        <f t="shared" ref="H1385:H1448" si="101">IF($C407="","",ROUND(($B$2*$F407*($B$5/1000))/$B$6,2))</f>
        <v/>
      </c>
      <c r="I1385" s="394" t="str">
        <f t="shared" ref="I1385:I1448" si="102">IF($C407="","",ROUND(($B$3*$F407*($B$5/1000))/$B$6,2))</f>
        <v/>
      </c>
      <c r="J1385" s="394" t="str">
        <f t="shared" ref="J1385:J1448" si="103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4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101"/>
        <v/>
      </c>
      <c r="I1386" s="394" t="str">
        <f t="shared" si="102"/>
        <v/>
      </c>
      <c r="J1386" s="394" t="str">
        <f t="shared" si="103"/>
        <v/>
      </c>
      <c r="K1386" s="394" t="str">
        <f t="shared" si="104"/>
        <v/>
      </c>
    </row>
    <row r="1387" spans="8:11" x14ac:dyDescent="0.25">
      <c r="H1387" s="394" t="str">
        <f t="shared" si="101"/>
        <v/>
      </c>
      <c r="I1387" s="394" t="str">
        <f t="shared" si="102"/>
        <v/>
      </c>
      <c r="J1387" s="394" t="str">
        <f t="shared" si="103"/>
        <v/>
      </c>
      <c r="K1387" s="394" t="str">
        <f t="shared" si="104"/>
        <v/>
      </c>
    </row>
    <row r="1388" spans="8:11" x14ac:dyDescent="0.25">
      <c r="H1388" s="394" t="str">
        <f t="shared" si="101"/>
        <v/>
      </c>
      <c r="I1388" s="394" t="str">
        <f t="shared" si="102"/>
        <v/>
      </c>
      <c r="J1388" s="394" t="str">
        <f t="shared" si="103"/>
        <v/>
      </c>
      <c r="K1388" s="394" t="str">
        <f t="shared" si="104"/>
        <v/>
      </c>
    </row>
    <row r="1389" spans="8:11" x14ac:dyDescent="0.25">
      <c r="H1389" s="394" t="str">
        <f t="shared" si="101"/>
        <v/>
      </c>
      <c r="I1389" s="394" t="str">
        <f t="shared" si="102"/>
        <v/>
      </c>
      <c r="J1389" s="394" t="str">
        <f t="shared" si="103"/>
        <v/>
      </c>
      <c r="K1389" s="394" t="str">
        <f t="shared" si="104"/>
        <v/>
      </c>
    </row>
    <row r="1390" spans="8:11" x14ac:dyDescent="0.25">
      <c r="H1390" s="394" t="str">
        <f t="shared" si="101"/>
        <v/>
      </c>
      <c r="I1390" s="394" t="str">
        <f t="shared" si="102"/>
        <v/>
      </c>
      <c r="J1390" s="394" t="str">
        <f t="shared" si="103"/>
        <v/>
      </c>
      <c r="K1390" s="394" t="str">
        <f t="shared" si="104"/>
        <v/>
      </c>
    </row>
    <row r="1391" spans="8:11" x14ac:dyDescent="0.25">
      <c r="H1391" s="394" t="str">
        <f t="shared" si="101"/>
        <v/>
      </c>
      <c r="I1391" s="394" t="str">
        <f t="shared" si="102"/>
        <v/>
      </c>
      <c r="J1391" s="394" t="str">
        <f t="shared" si="103"/>
        <v/>
      </c>
      <c r="K1391" s="394" t="str">
        <f t="shared" si="104"/>
        <v/>
      </c>
    </row>
    <row r="1392" spans="8:11" x14ac:dyDescent="0.25">
      <c r="H1392" s="394" t="str">
        <f t="shared" si="101"/>
        <v/>
      </c>
      <c r="I1392" s="394" t="str">
        <f t="shared" si="102"/>
        <v/>
      </c>
      <c r="J1392" s="394" t="str">
        <f t="shared" si="103"/>
        <v/>
      </c>
      <c r="K1392" s="394" t="str">
        <f t="shared" si="104"/>
        <v/>
      </c>
    </row>
    <row r="1393" spans="8:11" x14ac:dyDescent="0.25">
      <c r="H1393" s="394" t="str">
        <f t="shared" si="101"/>
        <v/>
      </c>
      <c r="I1393" s="394" t="str">
        <f t="shared" si="102"/>
        <v/>
      </c>
      <c r="J1393" s="394" t="str">
        <f t="shared" si="103"/>
        <v/>
      </c>
      <c r="K1393" s="394" t="str">
        <f t="shared" si="104"/>
        <v/>
      </c>
    </row>
    <row r="1394" spans="8:11" x14ac:dyDescent="0.25">
      <c r="H1394" s="394" t="str">
        <f t="shared" si="101"/>
        <v/>
      </c>
      <c r="I1394" s="394" t="str">
        <f t="shared" si="102"/>
        <v/>
      </c>
      <c r="J1394" s="394" t="str">
        <f t="shared" si="103"/>
        <v/>
      </c>
      <c r="K1394" s="394" t="str">
        <f t="shared" si="104"/>
        <v/>
      </c>
    </row>
    <row r="1395" spans="8:11" x14ac:dyDescent="0.25">
      <c r="H1395" s="394" t="str">
        <f t="shared" si="101"/>
        <v/>
      </c>
      <c r="I1395" s="394" t="str">
        <f t="shared" si="102"/>
        <v/>
      </c>
      <c r="J1395" s="394" t="str">
        <f t="shared" si="103"/>
        <v/>
      </c>
      <c r="K1395" s="394" t="str">
        <f t="shared" si="104"/>
        <v/>
      </c>
    </row>
    <row r="1396" spans="8:11" x14ac:dyDescent="0.25">
      <c r="H1396" s="394" t="str">
        <f t="shared" si="101"/>
        <v/>
      </c>
      <c r="I1396" s="394" t="str">
        <f t="shared" si="102"/>
        <v/>
      </c>
      <c r="J1396" s="394" t="str">
        <f t="shared" si="103"/>
        <v/>
      </c>
      <c r="K1396" s="394" t="str">
        <f t="shared" si="104"/>
        <v/>
      </c>
    </row>
    <row r="1397" spans="8:11" x14ac:dyDescent="0.25">
      <c r="H1397" s="394" t="str">
        <f t="shared" si="101"/>
        <v/>
      </c>
      <c r="I1397" s="394" t="str">
        <f t="shared" si="102"/>
        <v/>
      </c>
      <c r="J1397" s="394" t="str">
        <f t="shared" si="103"/>
        <v/>
      </c>
      <c r="K1397" s="394" t="str">
        <f t="shared" si="104"/>
        <v/>
      </c>
    </row>
    <row r="1398" spans="8:11" x14ac:dyDescent="0.25">
      <c r="H1398" s="394" t="str">
        <f t="shared" si="101"/>
        <v/>
      </c>
      <c r="I1398" s="394" t="str">
        <f t="shared" si="102"/>
        <v/>
      </c>
      <c r="J1398" s="394" t="str">
        <f t="shared" si="103"/>
        <v/>
      </c>
      <c r="K1398" s="394" t="str">
        <f t="shared" si="104"/>
        <v/>
      </c>
    </row>
    <row r="1399" spans="8:11" x14ac:dyDescent="0.25">
      <c r="H1399" s="394" t="str">
        <f t="shared" si="101"/>
        <v/>
      </c>
      <c r="I1399" s="394" t="str">
        <f t="shared" si="102"/>
        <v/>
      </c>
      <c r="J1399" s="394" t="str">
        <f t="shared" si="103"/>
        <v/>
      </c>
      <c r="K1399" s="394" t="str">
        <f t="shared" si="104"/>
        <v/>
      </c>
    </row>
    <row r="1400" spans="8:11" x14ac:dyDescent="0.25">
      <c r="H1400" s="394" t="str">
        <f t="shared" si="101"/>
        <v/>
      </c>
      <c r="I1400" s="394" t="str">
        <f t="shared" si="102"/>
        <v/>
      </c>
      <c r="J1400" s="394" t="str">
        <f t="shared" si="103"/>
        <v/>
      </c>
      <c r="K1400" s="394" t="str">
        <f t="shared" si="104"/>
        <v/>
      </c>
    </row>
    <row r="1401" spans="8:11" x14ac:dyDescent="0.25">
      <c r="H1401" s="394" t="str">
        <f t="shared" si="101"/>
        <v/>
      </c>
      <c r="I1401" s="394" t="str">
        <f t="shared" si="102"/>
        <v/>
      </c>
      <c r="J1401" s="394" t="str">
        <f t="shared" si="103"/>
        <v/>
      </c>
      <c r="K1401" s="394" t="str">
        <f t="shared" si="104"/>
        <v/>
      </c>
    </row>
    <row r="1402" spans="8:11" x14ac:dyDescent="0.25">
      <c r="H1402" s="394" t="str">
        <f t="shared" si="101"/>
        <v/>
      </c>
      <c r="I1402" s="394" t="str">
        <f t="shared" si="102"/>
        <v/>
      </c>
      <c r="J1402" s="394" t="str">
        <f t="shared" si="103"/>
        <v/>
      </c>
      <c r="K1402" s="394" t="str">
        <f t="shared" si="104"/>
        <v/>
      </c>
    </row>
    <row r="1403" spans="8:11" x14ac:dyDescent="0.25">
      <c r="H1403" s="394" t="str">
        <f t="shared" si="101"/>
        <v/>
      </c>
      <c r="I1403" s="394" t="str">
        <f t="shared" si="102"/>
        <v/>
      </c>
      <c r="J1403" s="394" t="str">
        <f t="shared" si="103"/>
        <v/>
      </c>
      <c r="K1403" s="394" t="str">
        <f t="shared" si="104"/>
        <v/>
      </c>
    </row>
    <row r="1404" spans="8:11" x14ac:dyDescent="0.25">
      <c r="H1404" s="394" t="str">
        <f t="shared" si="101"/>
        <v/>
      </c>
      <c r="I1404" s="394" t="str">
        <f t="shared" si="102"/>
        <v/>
      </c>
      <c r="J1404" s="394" t="str">
        <f t="shared" si="103"/>
        <v/>
      </c>
      <c r="K1404" s="394" t="str">
        <f t="shared" si="104"/>
        <v/>
      </c>
    </row>
    <row r="1405" spans="8:11" x14ac:dyDescent="0.25">
      <c r="H1405" s="394" t="str">
        <f t="shared" si="101"/>
        <v/>
      </c>
      <c r="I1405" s="394" t="str">
        <f t="shared" si="102"/>
        <v/>
      </c>
      <c r="J1405" s="394" t="str">
        <f t="shared" si="103"/>
        <v/>
      </c>
      <c r="K1405" s="394" t="str">
        <f t="shared" si="104"/>
        <v/>
      </c>
    </row>
    <row r="1406" spans="8:11" x14ac:dyDescent="0.25">
      <c r="H1406" s="394" t="str">
        <f t="shared" si="101"/>
        <v/>
      </c>
      <c r="I1406" s="394" t="str">
        <f t="shared" si="102"/>
        <v/>
      </c>
      <c r="J1406" s="394" t="str">
        <f t="shared" si="103"/>
        <v/>
      </c>
      <c r="K1406" s="394" t="str">
        <f t="shared" si="104"/>
        <v/>
      </c>
    </row>
    <row r="1407" spans="8:11" x14ac:dyDescent="0.25">
      <c r="H1407" s="394" t="str">
        <f t="shared" si="101"/>
        <v/>
      </c>
      <c r="I1407" s="394" t="str">
        <f t="shared" si="102"/>
        <v/>
      </c>
      <c r="J1407" s="394" t="str">
        <f t="shared" si="103"/>
        <v/>
      </c>
      <c r="K1407" s="394" t="str">
        <f t="shared" si="104"/>
        <v/>
      </c>
    </row>
    <row r="1408" spans="8:11" x14ac:dyDescent="0.25">
      <c r="H1408" s="394" t="str">
        <f t="shared" si="101"/>
        <v/>
      </c>
      <c r="I1408" s="394" t="str">
        <f t="shared" si="102"/>
        <v/>
      </c>
      <c r="J1408" s="394" t="str">
        <f t="shared" si="103"/>
        <v/>
      </c>
      <c r="K1408" s="394" t="str">
        <f t="shared" si="104"/>
        <v/>
      </c>
    </row>
    <row r="1409" spans="8:11" x14ac:dyDescent="0.25">
      <c r="H1409" s="394" t="str">
        <f t="shared" si="101"/>
        <v/>
      </c>
      <c r="I1409" s="394" t="str">
        <f t="shared" si="102"/>
        <v/>
      </c>
      <c r="J1409" s="394" t="str">
        <f t="shared" si="103"/>
        <v/>
      </c>
      <c r="K1409" s="394" t="str">
        <f t="shared" si="104"/>
        <v/>
      </c>
    </row>
    <row r="1410" spans="8:11" x14ac:dyDescent="0.25">
      <c r="H1410" s="394" t="str">
        <f t="shared" si="101"/>
        <v/>
      </c>
      <c r="I1410" s="394" t="str">
        <f t="shared" si="102"/>
        <v/>
      </c>
      <c r="J1410" s="394" t="str">
        <f t="shared" si="103"/>
        <v/>
      </c>
      <c r="K1410" s="394" t="str">
        <f t="shared" si="104"/>
        <v/>
      </c>
    </row>
    <row r="1411" spans="8:11" x14ac:dyDescent="0.25">
      <c r="H1411" s="394" t="str">
        <f t="shared" si="101"/>
        <v/>
      </c>
      <c r="I1411" s="394" t="str">
        <f t="shared" si="102"/>
        <v/>
      </c>
      <c r="J1411" s="394" t="str">
        <f t="shared" si="103"/>
        <v/>
      </c>
      <c r="K1411" s="394" t="str">
        <f t="shared" si="104"/>
        <v/>
      </c>
    </row>
    <row r="1412" spans="8:11" x14ac:dyDescent="0.25">
      <c r="H1412" s="394" t="str">
        <f t="shared" si="101"/>
        <v/>
      </c>
      <c r="I1412" s="394" t="str">
        <f t="shared" si="102"/>
        <v/>
      </c>
      <c r="J1412" s="394" t="str">
        <f t="shared" si="103"/>
        <v/>
      </c>
      <c r="K1412" s="394" t="str">
        <f t="shared" si="104"/>
        <v/>
      </c>
    </row>
    <row r="1413" spans="8:11" x14ac:dyDescent="0.25">
      <c r="H1413" s="394" t="str">
        <f t="shared" si="101"/>
        <v/>
      </c>
      <c r="I1413" s="394" t="str">
        <f t="shared" si="102"/>
        <v/>
      </c>
      <c r="J1413" s="394" t="str">
        <f t="shared" si="103"/>
        <v/>
      </c>
      <c r="K1413" s="394" t="str">
        <f t="shared" si="104"/>
        <v/>
      </c>
    </row>
    <row r="1414" spans="8:11" x14ac:dyDescent="0.25">
      <c r="H1414" s="394" t="str">
        <f t="shared" si="101"/>
        <v/>
      </c>
      <c r="I1414" s="394" t="str">
        <f t="shared" si="102"/>
        <v/>
      </c>
      <c r="J1414" s="394" t="str">
        <f t="shared" si="103"/>
        <v/>
      </c>
      <c r="K1414" s="394" t="str">
        <f t="shared" si="104"/>
        <v/>
      </c>
    </row>
    <row r="1415" spans="8:11" x14ac:dyDescent="0.25">
      <c r="H1415" s="394" t="str">
        <f t="shared" si="101"/>
        <v/>
      </c>
      <c r="I1415" s="394" t="str">
        <f t="shared" si="102"/>
        <v/>
      </c>
      <c r="J1415" s="394" t="str">
        <f t="shared" si="103"/>
        <v/>
      </c>
      <c r="K1415" s="394" t="str">
        <f t="shared" si="104"/>
        <v/>
      </c>
    </row>
    <row r="1416" spans="8:11" x14ac:dyDescent="0.25">
      <c r="H1416" s="394" t="str">
        <f t="shared" si="101"/>
        <v/>
      </c>
      <c r="I1416" s="394" t="str">
        <f t="shared" si="102"/>
        <v/>
      </c>
      <c r="J1416" s="394" t="str">
        <f t="shared" si="103"/>
        <v/>
      </c>
      <c r="K1416" s="394" t="str">
        <f t="shared" si="104"/>
        <v/>
      </c>
    </row>
    <row r="1417" spans="8:11" x14ac:dyDescent="0.25">
      <c r="H1417" s="394" t="str">
        <f t="shared" si="101"/>
        <v/>
      </c>
      <c r="I1417" s="394" t="str">
        <f t="shared" si="102"/>
        <v/>
      </c>
      <c r="J1417" s="394" t="str">
        <f t="shared" si="103"/>
        <v/>
      </c>
      <c r="K1417" s="394" t="str">
        <f t="shared" si="104"/>
        <v/>
      </c>
    </row>
    <row r="1418" spans="8:11" x14ac:dyDescent="0.25">
      <c r="H1418" s="394" t="str">
        <f t="shared" si="101"/>
        <v/>
      </c>
      <c r="I1418" s="394" t="str">
        <f t="shared" si="102"/>
        <v/>
      </c>
      <c r="J1418" s="394" t="str">
        <f t="shared" si="103"/>
        <v/>
      </c>
      <c r="K1418" s="394" t="str">
        <f t="shared" si="104"/>
        <v/>
      </c>
    </row>
    <row r="1419" spans="8:11" x14ac:dyDescent="0.25">
      <c r="H1419" s="394" t="str">
        <f t="shared" si="101"/>
        <v/>
      </c>
      <c r="I1419" s="394" t="str">
        <f t="shared" si="102"/>
        <v/>
      </c>
      <c r="J1419" s="394" t="str">
        <f t="shared" si="103"/>
        <v/>
      </c>
      <c r="K1419" s="394" t="str">
        <f t="shared" si="104"/>
        <v/>
      </c>
    </row>
    <row r="1420" spans="8:11" x14ac:dyDescent="0.25">
      <c r="H1420" s="394" t="str">
        <f t="shared" si="101"/>
        <v/>
      </c>
      <c r="I1420" s="394" t="str">
        <f t="shared" si="102"/>
        <v/>
      </c>
      <c r="J1420" s="394" t="str">
        <f t="shared" si="103"/>
        <v/>
      </c>
      <c r="K1420" s="394" t="str">
        <f t="shared" si="104"/>
        <v/>
      </c>
    </row>
    <row r="1421" spans="8:11" x14ac:dyDescent="0.25">
      <c r="H1421" s="394" t="str">
        <f t="shared" si="101"/>
        <v/>
      </c>
      <c r="I1421" s="394" t="str">
        <f t="shared" si="102"/>
        <v/>
      </c>
      <c r="J1421" s="394" t="str">
        <f t="shared" si="103"/>
        <v/>
      </c>
      <c r="K1421" s="394" t="str">
        <f t="shared" si="104"/>
        <v/>
      </c>
    </row>
    <row r="1422" spans="8:11" x14ac:dyDescent="0.25">
      <c r="H1422" s="394" t="str">
        <f t="shared" si="101"/>
        <v/>
      </c>
      <c r="I1422" s="394" t="str">
        <f t="shared" si="102"/>
        <v/>
      </c>
      <c r="J1422" s="394" t="str">
        <f t="shared" si="103"/>
        <v/>
      </c>
      <c r="K1422" s="394" t="str">
        <f t="shared" si="104"/>
        <v/>
      </c>
    </row>
    <row r="1423" spans="8:11" x14ac:dyDescent="0.25">
      <c r="H1423" s="394" t="str">
        <f t="shared" si="101"/>
        <v/>
      </c>
      <c r="I1423" s="394" t="str">
        <f t="shared" si="102"/>
        <v/>
      </c>
      <c r="J1423" s="394" t="str">
        <f t="shared" si="103"/>
        <v/>
      </c>
      <c r="K1423" s="394" t="str">
        <f t="shared" si="104"/>
        <v/>
      </c>
    </row>
    <row r="1424" spans="8:11" x14ac:dyDescent="0.25">
      <c r="H1424" s="394" t="str">
        <f t="shared" si="101"/>
        <v/>
      </c>
      <c r="I1424" s="394" t="str">
        <f t="shared" si="102"/>
        <v/>
      </c>
      <c r="J1424" s="394" t="str">
        <f t="shared" si="103"/>
        <v/>
      </c>
      <c r="K1424" s="394" t="str">
        <f t="shared" si="104"/>
        <v/>
      </c>
    </row>
    <row r="1425" spans="8:11" x14ac:dyDescent="0.25">
      <c r="H1425" s="394" t="str">
        <f t="shared" si="101"/>
        <v/>
      </c>
      <c r="I1425" s="394" t="str">
        <f t="shared" si="102"/>
        <v/>
      </c>
      <c r="J1425" s="394" t="str">
        <f t="shared" si="103"/>
        <v/>
      </c>
      <c r="K1425" s="394" t="str">
        <f t="shared" si="104"/>
        <v/>
      </c>
    </row>
    <row r="1426" spans="8:11" x14ac:dyDescent="0.25">
      <c r="H1426" s="394" t="str">
        <f t="shared" si="101"/>
        <v/>
      </c>
      <c r="I1426" s="394" t="str">
        <f t="shared" si="102"/>
        <v/>
      </c>
      <c r="J1426" s="394" t="str">
        <f t="shared" si="103"/>
        <v/>
      </c>
      <c r="K1426" s="394" t="str">
        <f t="shared" si="104"/>
        <v/>
      </c>
    </row>
    <row r="1427" spans="8:11" x14ac:dyDescent="0.25">
      <c r="H1427" s="394" t="str">
        <f t="shared" si="101"/>
        <v/>
      </c>
      <c r="I1427" s="394" t="str">
        <f t="shared" si="102"/>
        <v/>
      </c>
      <c r="J1427" s="394" t="str">
        <f t="shared" si="103"/>
        <v/>
      </c>
      <c r="K1427" s="394" t="str">
        <f t="shared" si="104"/>
        <v/>
      </c>
    </row>
    <row r="1428" spans="8:11" x14ac:dyDescent="0.25">
      <c r="H1428" s="394" t="str">
        <f t="shared" si="101"/>
        <v/>
      </c>
      <c r="I1428" s="394" t="str">
        <f t="shared" si="102"/>
        <v/>
      </c>
      <c r="J1428" s="394" t="str">
        <f t="shared" si="103"/>
        <v/>
      </c>
      <c r="K1428" s="394" t="str">
        <f t="shared" si="104"/>
        <v/>
      </c>
    </row>
    <row r="1429" spans="8:11" x14ac:dyDescent="0.25">
      <c r="H1429" s="394" t="str">
        <f t="shared" si="101"/>
        <v/>
      </c>
      <c r="I1429" s="394" t="str">
        <f t="shared" si="102"/>
        <v/>
      </c>
      <c r="J1429" s="394" t="str">
        <f t="shared" si="103"/>
        <v/>
      </c>
      <c r="K1429" s="394" t="str">
        <f t="shared" si="104"/>
        <v/>
      </c>
    </row>
    <row r="1430" spans="8:11" x14ac:dyDescent="0.25">
      <c r="H1430" s="394" t="str">
        <f t="shared" si="101"/>
        <v/>
      </c>
      <c r="I1430" s="394" t="str">
        <f t="shared" si="102"/>
        <v/>
      </c>
      <c r="J1430" s="394" t="str">
        <f t="shared" si="103"/>
        <v/>
      </c>
      <c r="K1430" s="394" t="str">
        <f t="shared" si="104"/>
        <v/>
      </c>
    </row>
    <row r="1431" spans="8:11" x14ac:dyDescent="0.25">
      <c r="H1431" s="394" t="str">
        <f t="shared" si="101"/>
        <v/>
      </c>
      <c r="I1431" s="394" t="str">
        <f t="shared" si="102"/>
        <v/>
      </c>
      <c r="J1431" s="394" t="str">
        <f t="shared" si="103"/>
        <v/>
      </c>
      <c r="K1431" s="394" t="str">
        <f t="shared" si="104"/>
        <v/>
      </c>
    </row>
    <row r="1432" spans="8:11" x14ac:dyDescent="0.25">
      <c r="H1432" s="394" t="str">
        <f t="shared" si="101"/>
        <v/>
      </c>
      <c r="I1432" s="394" t="str">
        <f t="shared" si="102"/>
        <v/>
      </c>
      <c r="J1432" s="394" t="str">
        <f t="shared" si="103"/>
        <v/>
      </c>
      <c r="K1432" s="394" t="str">
        <f t="shared" si="104"/>
        <v/>
      </c>
    </row>
    <row r="1433" spans="8:11" x14ac:dyDescent="0.25">
      <c r="H1433" s="394" t="str">
        <f t="shared" si="101"/>
        <v/>
      </c>
      <c r="I1433" s="394" t="str">
        <f t="shared" si="102"/>
        <v/>
      </c>
      <c r="J1433" s="394" t="str">
        <f t="shared" si="103"/>
        <v/>
      </c>
      <c r="K1433" s="394" t="str">
        <f t="shared" si="104"/>
        <v/>
      </c>
    </row>
    <row r="1434" spans="8:11" x14ac:dyDescent="0.25">
      <c r="H1434" s="394" t="str">
        <f t="shared" si="101"/>
        <v/>
      </c>
      <c r="I1434" s="394" t="str">
        <f t="shared" si="102"/>
        <v/>
      </c>
      <c r="J1434" s="394" t="str">
        <f t="shared" si="103"/>
        <v/>
      </c>
      <c r="K1434" s="394" t="str">
        <f t="shared" si="104"/>
        <v/>
      </c>
    </row>
    <row r="1435" spans="8:11" x14ac:dyDescent="0.25">
      <c r="H1435" s="394" t="str">
        <f t="shared" si="101"/>
        <v/>
      </c>
      <c r="I1435" s="394" t="str">
        <f t="shared" si="102"/>
        <v/>
      </c>
      <c r="J1435" s="394" t="str">
        <f t="shared" si="103"/>
        <v/>
      </c>
      <c r="K1435" s="394" t="str">
        <f t="shared" si="104"/>
        <v/>
      </c>
    </row>
    <row r="1436" spans="8:11" x14ac:dyDescent="0.25">
      <c r="H1436" s="394" t="str">
        <f t="shared" si="101"/>
        <v/>
      </c>
      <c r="I1436" s="394" t="str">
        <f t="shared" si="102"/>
        <v/>
      </c>
      <c r="J1436" s="394" t="str">
        <f t="shared" si="103"/>
        <v/>
      </c>
      <c r="K1436" s="394" t="str">
        <f t="shared" si="104"/>
        <v/>
      </c>
    </row>
    <row r="1437" spans="8:11" x14ac:dyDescent="0.25">
      <c r="H1437" s="394" t="str">
        <f t="shared" si="101"/>
        <v/>
      </c>
      <c r="I1437" s="394" t="str">
        <f t="shared" si="102"/>
        <v/>
      </c>
      <c r="J1437" s="394" t="str">
        <f t="shared" si="103"/>
        <v/>
      </c>
      <c r="K1437" s="394" t="str">
        <f t="shared" si="104"/>
        <v/>
      </c>
    </row>
    <row r="1438" spans="8:11" x14ac:dyDescent="0.25">
      <c r="H1438" s="394" t="str">
        <f t="shared" si="101"/>
        <v/>
      </c>
      <c r="I1438" s="394" t="str">
        <f t="shared" si="102"/>
        <v/>
      </c>
      <c r="J1438" s="394" t="str">
        <f t="shared" si="103"/>
        <v/>
      </c>
      <c r="K1438" s="394" t="str">
        <f t="shared" si="104"/>
        <v/>
      </c>
    </row>
    <row r="1439" spans="8:11" x14ac:dyDescent="0.25">
      <c r="H1439" s="394" t="str">
        <f t="shared" si="101"/>
        <v/>
      </c>
      <c r="I1439" s="394" t="str">
        <f t="shared" si="102"/>
        <v/>
      </c>
      <c r="J1439" s="394" t="str">
        <f t="shared" si="103"/>
        <v/>
      </c>
      <c r="K1439" s="394" t="str">
        <f t="shared" si="104"/>
        <v/>
      </c>
    </row>
    <row r="1440" spans="8:11" x14ac:dyDescent="0.25">
      <c r="H1440" s="394" t="str">
        <f t="shared" si="101"/>
        <v/>
      </c>
      <c r="I1440" s="394" t="str">
        <f t="shared" si="102"/>
        <v/>
      </c>
      <c r="J1440" s="394" t="str">
        <f t="shared" si="103"/>
        <v/>
      </c>
      <c r="K1440" s="394" t="str">
        <f t="shared" si="104"/>
        <v/>
      </c>
    </row>
    <row r="1441" spans="8:11" x14ac:dyDescent="0.25">
      <c r="H1441" s="394" t="str">
        <f t="shared" si="101"/>
        <v/>
      </c>
      <c r="I1441" s="394" t="str">
        <f t="shared" si="102"/>
        <v/>
      </c>
      <c r="J1441" s="394" t="str">
        <f t="shared" si="103"/>
        <v/>
      </c>
      <c r="K1441" s="394" t="str">
        <f t="shared" si="104"/>
        <v/>
      </c>
    </row>
    <row r="1442" spans="8:11" x14ac:dyDescent="0.25">
      <c r="H1442" s="394" t="str">
        <f t="shared" si="101"/>
        <v/>
      </c>
      <c r="I1442" s="394" t="str">
        <f t="shared" si="102"/>
        <v/>
      </c>
      <c r="J1442" s="394" t="str">
        <f t="shared" si="103"/>
        <v/>
      </c>
      <c r="K1442" s="394" t="str">
        <f t="shared" si="104"/>
        <v/>
      </c>
    </row>
    <row r="1443" spans="8:11" x14ac:dyDescent="0.25">
      <c r="H1443" s="394" t="str">
        <f t="shared" si="101"/>
        <v/>
      </c>
      <c r="I1443" s="394" t="str">
        <f t="shared" si="102"/>
        <v/>
      </c>
      <c r="J1443" s="394" t="str">
        <f t="shared" si="103"/>
        <v/>
      </c>
      <c r="K1443" s="394" t="str">
        <f t="shared" si="104"/>
        <v/>
      </c>
    </row>
    <row r="1444" spans="8:11" x14ac:dyDescent="0.25">
      <c r="H1444" s="394" t="str">
        <f t="shared" si="101"/>
        <v/>
      </c>
      <c r="I1444" s="394" t="str">
        <f t="shared" si="102"/>
        <v/>
      </c>
      <c r="J1444" s="394" t="str">
        <f t="shared" si="103"/>
        <v/>
      </c>
      <c r="K1444" s="394" t="str">
        <f t="shared" si="104"/>
        <v/>
      </c>
    </row>
    <row r="1445" spans="8:11" x14ac:dyDescent="0.25">
      <c r="H1445" s="394" t="str">
        <f t="shared" si="101"/>
        <v/>
      </c>
      <c r="I1445" s="394" t="str">
        <f t="shared" si="102"/>
        <v/>
      </c>
      <c r="J1445" s="394" t="str">
        <f t="shared" si="103"/>
        <v/>
      </c>
      <c r="K1445" s="394" t="str">
        <f t="shared" si="104"/>
        <v/>
      </c>
    </row>
    <row r="1446" spans="8:11" x14ac:dyDescent="0.25">
      <c r="H1446" s="394" t="str">
        <f t="shared" si="101"/>
        <v/>
      </c>
      <c r="I1446" s="394" t="str">
        <f t="shared" si="102"/>
        <v/>
      </c>
      <c r="J1446" s="394" t="str">
        <f t="shared" si="103"/>
        <v/>
      </c>
      <c r="K1446" s="394" t="str">
        <f t="shared" si="104"/>
        <v/>
      </c>
    </row>
    <row r="1447" spans="8:11" x14ac:dyDescent="0.25">
      <c r="H1447" s="394" t="str">
        <f t="shared" si="101"/>
        <v/>
      </c>
      <c r="I1447" s="394" t="str">
        <f t="shared" si="102"/>
        <v/>
      </c>
      <c r="J1447" s="394" t="str">
        <f t="shared" si="103"/>
        <v/>
      </c>
      <c r="K1447" s="394" t="str">
        <f t="shared" si="104"/>
        <v/>
      </c>
    </row>
    <row r="1448" spans="8:11" x14ac:dyDescent="0.25">
      <c r="H1448" s="394" t="str">
        <f t="shared" si="101"/>
        <v/>
      </c>
      <c r="I1448" s="394" t="str">
        <f t="shared" si="102"/>
        <v/>
      </c>
      <c r="J1448" s="394" t="str">
        <f t="shared" si="103"/>
        <v/>
      </c>
      <c r="K1448" s="394" t="str">
        <f t="shared" si="104"/>
        <v/>
      </c>
    </row>
    <row r="1449" spans="8:11" x14ac:dyDescent="0.25">
      <c r="H1449" s="394" t="str">
        <f t="shared" ref="H1449:H1512" si="105">IF($C471="","",ROUND(($B$2*$F471*($B$5/1000))/$B$6,2))</f>
        <v/>
      </c>
      <c r="I1449" s="394" t="str">
        <f t="shared" ref="I1449:I1512" si="106">IF($C471="","",ROUND(($B$3*$F471*($B$5/1000))/$B$6,2))</f>
        <v/>
      </c>
      <c r="J1449" s="394" t="str">
        <f t="shared" ref="J1449:J1512" si="107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8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5"/>
        <v/>
      </c>
      <c r="I1450" s="394" t="str">
        <f t="shared" si="106"/>
        <v/>
      </c>
      <c r="J1450" s="394" t="str">
        <f t="shared" si="107"/>
        <v/>
      </c>
      <c r="K1450" s="394" t="str">
        <f t="shared" si="108"/>
        <v/>
      </c>
    </row>
    <row r="1451" spans="8:11" x14ac:dyDescent="0.25">
      <c r="H1451" s="394" t="str">
        <f t="shared" si="105"/>
        <v/>
      </c>
      <c r="I1451" s="394" t="str">
        <f t="shared" si="106"/>
        <v/>
      </c>
      <c r="J1451" s="394" t="str">
        <f t="shared" si="107"/>
        <v/>
      </c>
      <c r="K1451" s="394" t="str">
        <f t="shared" si="108"/>
        <v/>
      </c>
    </row>
    <row r="1452" spans="8:11" x14ac:dyDescent="0.25">
      <c r="H1452" s="394" t="str">
        <f t="shared" si="105"/>
        <v/>
      </c>
      <c r="I1452" s="394" t="str">
        <f t="shared" si="106"/>
        <v/>
      </c>
      <c r="J1452" s="394" t="str">
        <f t="shared" si="107"/>
        <v/>
      </c>
      <c r="K1452" s="394" t="str">
        <f t="shared" si="108"/>
        <v/>
      </c>
    </row>
    <row r="1453" spans="8:11" x14ac:dyDescent="0.25">
      <c r="H1453" s="394" t="str">
        <f t="shared" si="105"/>
        <v/>
      </c>
      <c r="I1453" s="394" t="str">
        <f t="shared" si="106"/>
        <v/>
      </c>
      <c r="J1453" s="394" t="str">
        <f t="shared" si="107"/>
        <v/>
      </c>
      <c r="K1453" s="394" t="str">
        <f t="shared" si="108"/>
        <v/>
      </c>
    </row>
    <row r="1454" spans="8:11" x14ac:dyDescent="0.25">
      <c r="H1454" s="394" t="str">
        <f t="shared" si="105"/>
        <v/>
      </c>
      <c r="I1454" s="394" t="str">
        <f t="shared" si="106"/>
        <v/>
      </c>
      <c r="J1454" s="394" t="str">
        <f t="shared" si="107"/>
        <v/>
      </c>
      <c r="K1454" s="394" t="str">
        <f t="shared" si="108"/>
        <v/>
      </c>
    </row>
    <row r="1455" spans="8:11" x14ac:dyDescent="0.25">
      <c r="H1455" s="394" t="str">
        <f t="shared" si="105"/>
        <v/>
      </c>
      <c r="I1455" s="394" t="str">
        <f t="shared" si="106"/>
        <v/>
      </c>
      <c r="J1455" s="394" t="str">
        <f t="shared" si="107"/>
        <v/>
      </c>
      <c r="K1455" s="394" t="str">
        <f t="shared" si="108"/>
        <v/>
      </c>
    </row>
    <row r="1456" spans="8:11" x14ac:dyDescent="0.25">
      <c r="H1456" s="394" t="str">
        <f t="shared" si="105"/>
        <v/>
      </c>
      <c r="I1456" s="394" t="str">
        <f t="shared" si="106"/>
        <v/>
      </c>
      <c r="J1456" s="394" t="str">
        <f t="shared" si="107"/>
        <v/>
      </c>
      <c r="K1456" s="394" t="str">
        <f t="shared" si="108"/>
        <v/>
      </c>
    </row>
    <row r="1457" spans="8:11" x14ac:dyDescent="0.25">
      <c r="H1457" s="394" t="str">
        <f t="shared" si="105"/>
        <v/>
      </c>
      <c r="I1457" s="394" t="str">
        <f t="shared" si="106"/>
        <v/>
      </c>
      <c r="J1457" s="394" t="str">
        <f t="shared" si="107"/>
        <v/>
      </c>
      <c r="K1457" s="394" t="str">
        <f t="shared" si="108"/>
        <v/>
      </c>
    </row>
    <row r="1458" spans="8:11" x14ac:dyDescent="0.25">
      <c r="H1458" s="394" t="str">
        <f t="shared" si="105"/>
        <v/>
      </c>
      <c r="I1458" s="394" t="str">
        <f t="shared" si="106"/>
        <v/>
      </c>
      <c r="J1458" s="394" t="str">
        <f t="shared" si="107"/>
        <v/>
      </c>
      <c r="K1458" s="394" t="str">
        <f t="shared" si="108"/>
        <v/>
      </c>
    </row>
    <row r="1459" spans="8:11" x14ac:dyDescent="0.25">
      <c r="H1459" s="394" t="str">
        <f t="shared" si="105"/>
        <v/>
      </c>
      <c r="I1459" s="394" t="str">
        <f t="shared" si="106"/>
        <v/>
      </c>
      <c r="J1459" s="394" t="str">
        <f t="shared" si="107"/>
        <v/>
      </c>
      <c r="K1459" s="394" t="str">
        <f t="shared" si="108"/>
        <v/>
      </c>
    </row>
    <row r="1460" spans="8:11" x14ac:dyDescent="0.25">
      <c r="H1460" s="394" t="str">
        <f t="shared" si="105"/>
        <v/>
      </c>
      <c r="I1460" s="394" t="str">
        <f t="shared" si="106"/>
        <v/>
      </c>
      <c r="J1460" s="394" t="str">
        <f t="shared" si="107"/>
        <v/>
      </c>
      <c r="K1460" s="394" t="str">
        <f t="shared" si="108"/>
        <v/>
      </c>
    </row>
    <row r="1461" spans="8:11" x14ac:dyDescent="0.25">
      <c r="H1461" s="394" t="str">
        <f t="shared" si="105"/>
        <v/>
      </c>
      <c r="I1461" s="394" t="str">
        <f t="shared" si="106"/>
        <v/>
      </c>
      <c r="J1461" s="394" t="str">
        <f t="shared" si="107"/>
        <v/>
      </c>
      <c r="K1461" s="394" t="str">
        <f t="shared" si="108"/>
        <v/>
      </c>
    </row>
    <row r="1462" spans="8:11" x14ac:dyDescent="0.25">
      <c r="H1462" s="394" t="str">
        <f t="shared" si="105"/>
        <v/>
      </c>
      <c r="I1462" s="394" t="str">
        <f t="shared" si="106"/>
        <v/>
      </c>
      <c r="J1462" s="394" t="str">
        <f t="shared" si="107"/>
        <v/>
      </c>
      <c r="K1462" s="394" t="str">
        <f t="shared" si="108"/>
        <v/>
      </c>
    </row>
    <row r="1463" spans="8:11" x14ac:dyDescent="0.25">
      <c r="H1463" s="394" t="str">
        <f t="shared" si="105"/>
        <v/>
      </c>
      <c r="I1463" s="394" t="str">
        <f t="shared" si="106"/>
        <v/>
      </c>
      <c r="J1463" s="394" t="str">
        <f t="shared" si="107"/>
        <v/>
      </c>
      <c r="K1463" s="394" t="str">
        <f t="shared" si="108"/>
        <v/>
      </c>
    </row>
    <row r="1464" spans="8:11" x14ac:dyDescent="0.25">
      <c r="H1464" s="394" t="str">
        <f t="shared" si="105"/>
        <v/>
      </c>
      <c r="I1464" s="394" t="str">
        <f t="shared" si="106"/>
        <v/>
      </c>
      <c r="J1464" s="394" t="str">
        <f t="shared" si="107"/>
        <v/>
      </c>
      <c r="K1464" s="394" t="str">
        <f t="shared" si="108"/>
        <v/>
      </c>
    </row>
    <row r="1465" spans="8:11" x14ac:dyDescent="0.25">
      <c r="H1465" s="394" t="str">
        <f t="shared" si="105"/>
        <v/>
      </c>
      <c r="I1465" s="394" t="str">
        <f t="shared" si="106"/>
        <v/>
      </c>
      <c r="J1465" s="394" t="str">
        <f t="shared" si="107"/>
        <v/>
      </c>
      <c r="K1465" s="394" t="str">
        <f t="shared" si="108"/>
        <v/>
      </c>
    </row>
    <row r="1466" spans="8:11" x14ac:dyDescent="0.25">
      <c r="H1466" s="394" t="str">
        <f t="shared" si="105"/>
        <v/>
      </c>
      <c r="I1466" s="394" t="str">
        <f t="shared" si="106"/>
        <v/>
      </c>
      <c r="J1466" s="394" t="str">
        <f t="shared" si="107"/>
        <v/>
      </c>
      <c r="K1466" s="394" t="str">
        <f t="shared" si="108"/>
        <v/>
      </c>
    </row>
    <row r="1467" spans="8:11" x14ac:dyDescent="0.25">
      <c r="H1467" s="394" t="str">
        <f t="shared" si="105"/>
        <v/>
      </c>
      <c r="I1467" s="394" t="str">
        <f t="shared" si="106"/>
        <v/>
      </c>
      <c r="J1467" s="394" t="str">
        <f t="shared" si="107"/>
        <v/>
      </c>
      <c r="K1467" s="394" t="str">
        <f t="shared" si="108"/>
        <v/>
      </c>
    </row>
    <row r="1468" spans="8:11" x14ac:dyDescent="0.25">
      <c r="H1468" s="394" t="str">
        <f t="shared" si="105"/>
        <v/>
      </c>
      <c r="I1468" s="394" t="str">
        <f t="shared" si="106"/>
        <v/>
      </c>
      <c r="J1468" s="394" t="str">
        <f t="shared" si="107"/>
        <v/>
      </c>
      <c r="K1468" s="394" t="str">
        <f t="shared" si="108"/>
        <v/>
      </c>
    </row>
    <row r="1469" spans="8:11" x14ac:dyDescent="0.25">
      <c r="H1469" s="394" t="str">
        <f t="shared" si="105"/>
        <v/>
      </c>
      <c r="I1469" s="394" t="str">
        <f t="shared" si="106"/>
        <v/>
      </c>
      <c r="J1469" s="394" t="str">
        <f t="shared" si="107"/>
        <v/>
      </c>
      <c r="K1469" s="394" t="str">
        <f t="shared" si="108"/>
        <v/>
      </c>
    </row>
    <row r="1470" spans="8:11" x14ac:dyDescent="0.25">
      <c r="H1470" s="394" t="str">
        <f t="shared" si="105"/>
        <v/>
      </c>
      <c r="I1470" s="394" t="str">
        <f t="shared" si="106"/>
        <v/>
      </c>
      <c r="J1470" s="394" t="str">
        <f t="shared" si="107"/>
        <v/>
      </c>
      <c r="K1470" s="394" t="str">
        <f t="shared" si="108"/>
        <v/>
      </c>
    </row>
    <row r="1471" spans="8:11" x14ac:dyDescent="0.25">
      <c r="H1471" s="394" t="str">
        <f t="shared" si="105"/>
        <v/>
      </c>
      <c r="I1471" s="394" t="str">
        <f t="shared" si="106"/>
        <v/>
      </c>
      <c r="J1471" s="394" t="str">
        <f t="shared" si="107"/>
        <v/>
      </c>
      <c r="K1471" s="394" t="str">
        <f t="shared" si="108"/>
        <v/>
      </c>
    </row>
    <row r="1472" spans="8:11" x14ac:dyDescent="0.25">
      <c r="H1472" s="394" t="str">
        <f t="shared" si="105"/>
        <v/>
      </c>
      <c r="I1472" s="394" t="str">
        <f t="shared" si="106"/>
        <v/>
      </c>
      <c r="J1472" s="394" t="str">
        <f t="shared" si="107"/>
        <v/>
      </c>
      <c r="K1472" s="394" t="str">
        <f t="shared" si="108"/>
        <v/>
      </c>
    </row>
    <row r="1473" spans="8:11" x14ac:dyDescent="0.25">
      <c r="H1473" s="394" t="str">
        <f t="shared" si="105"/>
        <v/>
      </c>
      <c r="I1473" s="394" t="str">
        <f t="shared" si="106"/>
        <v/>
      </c>
      <c r="J1473" s="394" t="str">
        <f t="shared" si="107"/>
        <v/>
      </c>
      <c r="K1473" s="394" t="str">
        <f t="shared" si="108"/>
        <v/>
      </c>
    </row>
    <row r="1474" spans="8:11" x14ac:dyDescent="0.25">
      <c r="H1474" s="394" t="str">
        <f t="shared" si="105"/>
        <v/>
      </c>
      <c r="I1474" s="394" t="str">
        <f t="shared" si="106"/>
        <v/>
      </c>
      <c r="J1474" s="394" t="str">
        <f t="shared" si="107"/>
        <v/>
      </c>
      <c r="K1474" s="394" t="str">
        <f t="shared" si="108"/>
        <v/>
      </c>
    </row>
    <row r="1475" spans="8:11" x14ac:dyDescent="0.25">
      <c r="H1475" s="394" t="str">
        <f t="shared" si="105"/>
        <v/>
      </c>
      <c r="I1475" s="394" t="str">
        <f t="shared" si="106"/>
        <v/>
      </c>
      <c r="J1475" s="394" t="str">
        <f t="shared" si="107"/>
        <v/>
      </c>
      <c r="K1475" s="394" t="str">
        <f t="shared" si="108"/>
        <v/>
      </c>
    </row>
    <row r="1476" spans="8:11" x14ac:dyDescent="0.25">
      <c r="H1476" s="394" t="str">
        <f t="shared" si="105"/>
        <v/>
      </c>
      <c r="I1476" s="394" t="str">
        <f t="shared" si="106"/>
        <v/>
      </c>
      <c r="J1476" s="394" t="str">
        <f t="shared" si="107"/>
        <v/>
      </c>
      <c r="K1476" s="394" t="str">
        <f t="shared" si="108"/>
        <v/>
      </c>
    </row>
    <row r="1477" spans="8:11" x14ac:dyDescent="0.25">
      <c r="H1477" s="394" t="str">
        <f t="shared" si="105"/>
        <v/>
      </c>
      <c r="I1477" s="394" t="str">
        <f t="shared" si="106"/>
        <v/>
      </c>
      <c r="J1477" s="394" t="str">
        <f t="shared" si="107"/>
        <v/>
      </c>
      <c r="K1477" s="394" t="str">
        <f t="shared" si="108"/>
        <v/>
      </c>
    </row>
    <row r="1478" spans="8:11" x14ac:dyDescent="0.25">
      <c r="H1478" s="394" t="str">
        <f t="shared" si="105"/>
        <v/>
      </c>
      <c r="I1478" s="394" t="str">
        <f t="shared" si="106"/>
        <v/>
      </c>
      <c r="J1478" s="394" t="str">
        <f t="shared" si="107"/>
        <v/>
      </c>
      <c r="K1478" s="394" t="str">
        <f t="shared" si="108"/>
        <v/>
      </c>
    </row>
    <row r="1479" spans="8:11" x14ac:dyDescent="0.25">
      <c r="H1479" s="394" t="str">
        <f t="shared" si="105"/>
        <v/>
      </c>
      <c r="I1479" s="394" t="str">
        <f t="shared" si="106"/>
        <v/>
      </c>
      <c r="J1479" s="394" t="str">
        <f t="shared" si="107"/>
        <v/>
      </c>
      <c r="K1479" s="394" t="str">
        <f t="shared" si="108"/>
        <v/>
      </c>
    </row>
    <row r="1480" spans="8:11" x14ac:dyDescent="0.25">
      <c r="H1480" s="394" t="str">
        <f t="shared" si="105"/>
        <v/>
      </c>
      <c r="I1480" s="394" t="str">
        <f t="shared" si="106"/>
        <v/>
      </c>
      <c r="J1480" s="394" t="str">
        <f t="shared" si="107"/>
        <v/>
      </c>
      <c r="K1480" s="394" t="str">
        <f t="shared" si="108"/>
        <v/>
      </c>
    </row>
    <row r="1481" spans="8:11" x14ac:dyDescent="0.25">
      <c r="H1481" s="394" t="str">
        <f t="shared" si="105"/>
        <v/>
      </c>
      <c r="I1481" s="394" t="str">
        <f t="shared" si="106"/>
        <v/>
      </c>
      <c r="J1481" s="394" t="str">
        <f t="shared" si="107"/>
        <v/>
      </c>
      <c r="K1481" s="394" t="str">
        <f t="shared" si="108"/>
        <v/>
      </c>
    </row>
    <row r="1482" spans="8:11" x14ac:dyDescent="0.25">
      <c r="H1482" s="394" t="str">
        <f t="shared" si="105"/>
        <v/>
      </c>
      <c r="I1482" s="394" t="str">
        <f t="shared" si="106"/>
        <v/>
      </c>
      <c r="J1482" s="394" t="str">
        <f t="shared" si="107"/>
        <v/>
      </c>
      <c r="K1482" s="394" t="str">
        <f t="shared" si="108"/>
        <v/>
      </c>
    </row>
    <row r="1483" spans="8:11" x14ac:dyDescent="0.25">
      <c r="H1483" s="394" t="str">
        <f t="shared" si="105"/>
        <v/>
      </c>
      <c r="I1483" s="394" t="str">
        <f t="shared" si="106"/>
        <v/>
      </c>
      <c r="J1483" s="394" t="str">
        <f t="shared" si="107"/>
        <v/>
      </c>
      <c r="K1483" s="394" t="str">
        <f t="shared" si="108"/>
        <v/>
      </c>
    </row>
    <row r="1484" spans="8:11" x14ac:dyDescent="0.25">
      <c r="H1484" s="394" t="str">
        <f t="shared" si="105"/>
        <v/>
      </c>
      <c r="I1484" s="394" t="str">
        <f t="shared" si="106"/>
        <v/>
      </c>
      <c r="J1484" s="394" t="str">
        <f t="shared" si="107"/>
        <v/>
      </c>
      <c r="K1484" s="394" t="str">
        <f t="shared" si="108"/>
        <v/>
      </c>
    </row>
    <row r="1485" spans="8:11" x14ac:dyDescent="0.25">
      <c r="H1485" s="394" t="str">
        <f t="shared" si="105"/>
        <v/>
      </c>
      <c r="I1485" s="394" t="str">
        <f t="shared" si="106"/>
        <v/>
      </c>
      <c r="J1485" s="394" t="str">
        <f t="shared" si="107"/>
        <v/>
      </c>
      <c r="K1485" s="394" t="str">
        <f t="shared" si="108"/>
        <v/>
      </c>
    </row>
    <row r="1486" spans="8:11" x14ac:dyDescent="0.25">
      <c r="H1486" s="394" t="str">
        <f t="shared" si="105"/>
        <v/>
      </c>
      <c r="I1486" s="394" t="str">
        <f t="shared" si="106"/>
        <v/>
      </c>
      <c r="J1486" s="394" t="str">
        <f t="shared" si="107"/>
        <v/>
      </c>
      <c r="K1486" s="394" t="str">
        <f t="shared" si="108"/>
        <v/>
      </c>
    </row>
    <row r="1487" spans="8:11" x14ac:dyDescent="0.25">
      <c r="H1487" s="394" t="str">
        <f t="shared" si="105"/>
        <v/>
      </c>
      <c r="I1487" s="394" t="str">
        <f t="shared" si="106"/>
        <v/>
      </c>
      <c r="J1487" s="394" t="str">
        <f t="shared" si="107"/>
        <v/>
      </c>
      <c r="K1487" s="394" t="str">
        <f t="shared" si="108"/>
        <v/>
      </c>
    </row>
    <row r="1488" spans="8:11" x14ac:dyDescent="0.25">
      <c r="H1488" s="394" t="str">
        <f t="shared" si="105"/>
        <v/>
      </c>
      <c r="I1488" s="394" t="str">
        <f t="shared" si="106"/>
        <v/>
      </c>
      <c r="J1488" s="394" t="str">
        <f t="shared" si="107"/>
        <v/>
      </c>
      <c r="K1488" s="394" t="str">
        <f t="shared" si="108"/>
        <v/>
      </c>
    </row>
    <row r="1489" spans="8:11" x14ac:dyDescent="0.25">
      <c r="H1489" s="394" t="str">
        <f t="shared" si="105"/>
        <v/>
      </c>
      <c r="I1489" s="394" t="str">
        <f t="shared" si="106"/>
        <v/>
      </c>
      <c r="J1489" s="394" t="str">
        <f t="shared" si="107"/>
        <v/>
      </c>
      <c r="K1489" s="394" t="str">
        <f t="shared" si="108"/>
        <v/>
      </c>
    </row>
    <row r="1490" spans="8:11" x14ac:dyDescent="0.25">
      <c r="H1490" s="394" t="str">
        <f t="shared" si="105"/>
        <v/>
      </c>
      <c r="I1490" s="394" t="str">
        <f t="shared" si="106"/>
        <v/>
      </c>
      <c r="J1490" s="394" t="str">
        <f t="shared" si="107"/>
        <v/>
      </c>
      <c r="K1490" s="394" t="str">
        <f t="shared" si="108"/>
        <v/>
      </c>
    </row>
    <row r="1491" spans="8:11" x14ac:dyDescent="0.25">
      <c r="H1491" s="394" t="str">
        <f t="shared" si="105"/>
        <v/>
      </c>
      <c r="I1491" s="394" t="str">
        <f t="shared" si="106"/>
        <v/>
      </c>
      <c r="J1491" s="394" t="str">
        <f t="shared" si="107"/>
        <v/>
      </c>
      <c r="K1491" s="394" t="str">
        <f t="shared" si="108"/>
        <v/>
      </c>
    </row>
    <row r="1492" spans="8:11" x14ac:dyDescent="0.25">
      <c r="H1492" s="394" t="str">
        <f t="shared" si="105"/>
        <v/>
      </c>
      <c r="I1492" s="394" t="str">
        <f t="shared" si="106"/>
        <v/>
      </c>
      <c r="J1492" s="394" t="str">
        <f t="shared" si="107"/>
        <v/>
      </c>
      <c r="K1492" s="394" t="str">
        <f t="shared" si="108"/>
        <v/>
      </c>
    </row>
    <row r="1493" spans="8:11" x14ac:dyDescent="0.25">
      <c r="H1493" s="394" t="str">
        <f t="shared" si="105"/>
        <v/>
      </c>
      <c r="I1493" s="394" t="str">
        <f t="shared" si="106"/>
        <v/>
      </c>
      <c r="J1493" s="394" t="str">
        <f t="shared" si="107"/>
        <v/>
      </c>
      <c r="K1493" s="394" t="str">
        <f t="shared" si="108"/>
        <v/>
      </c>
    </row>
    <row r="1494" spans="8:11" x14ac:dyDescent="0.25">
      <c r="H1494" s="394" t="str">
        <f t="shared" si="105"/>
        <v/>
      </c>
      <c r="I1494" s="394" t="str">
        <f t="shared" si="106"/>
        <v/>
      </c>
      <c r="J1494" s="394" t="str">
        <f t="shared" si="107"/>
        <v/>
      </c>
      <c r="K1494" s="394" t="str">
        <f t="shared" si="108"/>
        <v/>
      </c>
    </row>
    <row r="1495" spans="8:11" x14ac:dyDescent="0.25">
      <c r="H1495" s="394" t="str">
        <f t="shared" si="105"/>
        <v/>
      </c>
      <c r="I1495" s="394" t="str">
        <f t="shared" si="106"/>
        <v/>
      </c>
      <c r="J1495" s="394" t="str">
        <f t="shared" si="107"/>
        <v/>
      </c>
      <c r="K1495" s="394" t="str">
        <f t="shared" si="108"/>
        <v/>
      </c>
    </row>
    <row r="1496" spans="8:11" x14ac:dyDescent="0.25">
      <c r="H1496" s="394" t="str">
        <f t="shared" si="105"/>
        <v/>
      </c>
      <c r="I1496" s="394" t="str">
        <f t="shared" si="106"/>
        <v/>
      </c>
      <c r="J1496" s="394" t="str">
        <f t="shared" si="107"/>
        <v/>
      </c>
      <c r="K1496" s="394" t="str">
        <f t="shared" si="108"/>
        <v/>
      </c>
    </row>
    <row r="1497" spans="8:11" x14ac:dyDescent="0.25">
      <c r="H1497" s="394" t="str">
        <f t="shared" si="105"/>
        <v/>
      </c>
      <c r="I1497" s="394" t="str">
        <f t="shared" si="106"/>
        <v/>
      </c>
      <c r="J1497" s="394" t="str">
        <f t="shared" si="107"/>
        <v/>
      </c>
      <c r="K1497" s="394" t="str">
        <f t="shared" si="108"/>
        <v/>
      </c>
    </row>
    <row r="1498" spans="8:11" x14ac:dyDescent="0.25">
      <c r="H1498" s="394" t="str">
        <f t="shared" si="105"/>
        <v/>
      </c>
      <c r="I1498" s="394" t="str">
        <f t="shared" si="106"/>
        <v/>
      </c>
      <c r="J1498" s="394" t="str">
        <f t="shared" si="107"/>
        <v/>
      </c>
      <c r="K1498" s="394" t="str">
        <f t="shared" si="108"/>
        <v/>
      </c>
    </row>
    <row r="1499" spans="8:11" x14ac:dyDescent="0.25">
      <c r="H1499" s="394" t="str">
        <f t="shared" si="105"/>
        <v/>
      </c>
      <c r="I1499" s="394" t="str">
        <f t="shared" si="106"/>
        <v/>
      </c>
      <c r="J1499" s="394" t="str">
        <f t="shared" si="107"/>
        <v/>
      </c>
      <c r="K1499" s="394" t="str">
        <f t="shared" si="108"/>
        <v/>
      </c>
    </row>
    <row r="1500" spans="8:11" x14ac:dyDescent="0.25">
      <c r="H1500" s="394" t="str">
        <f t="shared" si="105"/>
        <v/>
      </c>
      <c r="I1500" s="394" t="str">
        <f t="shared" si="106"/>
        <v/>
      </c>
      <c r="J1500" s="394" t="str">
        <f t="shared" si="107"/>
        <v/>
      </c>
      <c r="K1500" s="394" t="str">
        <f t="shared" si="108"/>
        <v/>
      </c>
    </row>
    <row r="1501" spans="8:11" x14ac:dyDescent="0.25">
      <c r="H1501" s="394" t="str">
        <f t="shared" si="105"/>
        <v/>
      </c>
      <c r="I1501" s="394" t="str">
        <f t="shared" si="106"/>
        <v/>
      </c>
      <c r="J1501" s="394" t="str">
        <f t="shared" si="107"/>
        <v/>
      </c>
      <c r="K1501" s="394" t="str">
        <f t="shared" si="108"/>
        <v/>
      </c>
    </row>
    <row r="1502" spans="8:11" x14ac:dyDescent="0.25">
      <c r="H1502" s="394" t="str">
        <f t="shared" si="105"/>
        <v/>
      </c>
      <c r="I1502" s="394" t="str">
        <f t="shared" si="106"/>
        <v/>
      </c>
      <c r="J1502" s="394" t="str">
        <f t="shared" si="107"/>
        <v/>
      </c>
      <c r="K1502" s="394" t="str">
        <f t="shared" si="108"/>
        <v/>
      </c>
    </row>
    <row r="1503" spans="8:11" x14ac:dyDescent="0.25">
      <c r="H1503" s="394" t="str">
        <f t="shared" si="105"/>
        <v/>
      </c>
      <c r="I1503" s="394" t="str">
        <f t="shared" si="106"/>
        <v/>
      </c>
      <c r="J1503" s="394" t="str">
        <f t="shared" si="107"/>
        <v/>
      </c>
      <c r="K1503" s="394" t="str">
        <f t="shared" si="108"/>
        <v/>
      </c>
    </row>
    <row r="1504" spans="8:11" x14ac:dyDescent="0.25">
      <c r="H1504" s="394" t="str">
        <f t="shared" si="105"/>
        <v/>
      </c>
      <c r="I1504" s="394" t="str">
        <f t="shared" si="106"/>
        <v/>
      </c>
      <c r="J1504" s="394" t="str">
        <f t="shared" si="107"/>
        <v/>
      </c>
      <c r="K1504" s="394" t="str">
        <f t="shared" si="108"/>
        <v/>
      </c>
    </row>
    <row r="1505" spans="8:11" x14ac:dyDescent="0.25">
      <c r="H1505" s="394" t="str">
        <f t="shared" si="105"/>
        <v/>
      </c>
      <c r="I1505" s="394" t="str">
        <f t="shared" si="106"/>
        <v/>
      </c>
      <c r="J1505" s="394" t="str">
        <f t="shared" si="107"/>
        <v/>
      </c>
      <c r="K1505" s="394" t="str">
        <f t="shared" si="108"/>
        <v/>
      </c>
    </row>
    <row r="1506" spans="8:11" x14ac:dyDescent="0.25">
      <c r="H1506" s="394" t="str">
        <f t="shared" si="105"/>
        <v/>
      </c>
      <c r="I1506" s="394" t="str">
        <f t="shared" si="106"/>
        <v/>
      </c>
      <c r="J1506" s="394" t="str">
        <f t="shared" si="107"/>
        <v/>
      </c>
      <c r="K1506" s="394" t="str">
        <f t="shared" si="108"/>
        <v/>
      </c>
    </row>
    <row r="1507" spans="8:11" x14ac:dyDescent="0.25">
      <c r="H1507" s="394" t="str">
        <f t="shared" si="105"/>
        <v/>
      </c>
      <c r="I1507" s="394" t="str">
        <f t="shared" si="106"/>
        <v/>
      </c>
      <c r="J1507" s="394" t="str">
        <f t="shared" si="107"/>
        <v/>
      </c>
      <c r="K1507" s="394" t="str">
        <f t="shared" si="108"/>
        <v/>
      </c>
    </row>
    <row r="1508" spans="8:11" x14ac:dyDescent="0.25">
      <c r="H1508" s="394" t="str">
        <f t="shared" si="105"/>
        <v/>
      </c>
      <c r="I1508" s="394" t="str">
        <f t="shared" si="106"/>
        <v/>
      </c>
      <c r="J1508" s="394" t="str">
        <f t="shared" si="107"/>
        <v/>
      </c>
      <c r="K1508" s="394" t="str">
        <f t="shared" si="108"/>
        <v/>
      </c>
    </row>
    <row r="1509" spans="8:11" x14ac:dyDescent="0.25">
      <c r="H1509" s="394" t="str">
        <f t="shared" si="105"/>
        <v/>
      </c>
      <c r="I1509" s="394" t="str">
        <f t="shared" si="106"/>
        <v/>
      </c>
      <c r="J1509" s="394" t="str">
        <f t="shared" si="107"/>
        <v/>
      </c>
      <c r="K1509" s="394" t="str">
        <f t="shared" si="108"/>
        <v/>
      </c>
    </row>
    <row r="1510" spans="8:11" x14ac:dyDescent="0.25">
      <c r="H1510" s="394" t="str">
        <f t="shared" si="105"/>
        <v/>
      </c>
      <c r="I1510" s="394" t="str">
        <f t="shared" si="106"/>
        <v/>
      </c>
      <c r="J1510" s="394" t="str">
        <f t="shared" si="107"/>
        <v/>
      </c>
      <c r="K1510" s="394" t="str">
        <f t="shared" si="108"/>
        <v/>
      </c>
    </row>
    <row r="1511" spans="8:11" x14ac:dyDescent="0.25">
      <c r="H1511" s="394" t="str">
        <f t="shared" si="105"/>
        <v/>
      </c>
      <c r="I1511" s="394" t="str">
        <f t="shared" si="106"/>
        <v/>
      </c>
      <c r="J1511" s="394" t="str">
        <f t="shared" si="107"/>
        <v/>
      </c>
      <c r="K1511" s="394" t="str">
        <f t="shared" si="108"/>
        <v/>
      </c>
    </row>
    <row r="1512" spans="8:11" x14ac:dyDescent="0.25">
      <c r="H1512" s="394" t="str">
        <f t="shared" si="105"/>
        <v/>
      </c>
      <c r="I1512" s="394" t="str">
        <f t="shared" si="106"/>
        <v/>
      </c>
      <c r="J1512" s="394" t="str">
        <f t="shared" si="107"/>
        <v/>
      </c>
      <c r="K1512" s="394" t="str">
        <f t="shared" si="108"/>
        <v/>
      </c>
    </row>
    <row r="1513" spans="8:11" x14ac:dyDescent="0.25">
      <c r="H1513" s="394" t="str">
        <f t="shared" ref="H1513:H1576" si="109">IF($C535="","",ROUND(($B$2*$F535*($B$5/1000))/$B$6,2))</f>
        <v/>
      </c>
      <c r="I1513" s="394" t="str">
        <f t="shared" ref="I1513:I1576" si="110">IF($C535="","",ROUND(($B$3*$F535*($B$5/1000))/$B$6,2))</f>
        <v/>
      </c>
      <c r="J1513" s="394" t="str">
        <f t="shared" ref="J1513:J1576" si="111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12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09"/>
        <v/>
      </c>
      <c r="I1514" s="394" t="str">
        <f t="shared" si="110"/>
        <v/>
      </c>
      <c r="J1514" s="394" t="str">
        <f t="shared" si="111"/>
        <v/>
      </c>
      <c r="K1514" s="394" t="str">
        <f t="shared" si="112"/>
        <v/>
      </c>
    </row>
    <row r="1515" spans="8:11" x14ac:dyDescent="0.25">
      <c r="H1515" s="394" t="str">
        <f t="shared" si="109"/>
        <v/>
      </c>
      <c r="I1515" s="394" t="str">
        <f t="shared" si="110"/>
        <v/>
      </c>
      <c r="J1515" s="394" t="str">
        <f t="shared" si="111"/>
        <v/>
      </c>
      <c r="K1515" s="394" t="str">
        <f t="shared" si="112"/>
        <v/>
      </c>
    </row>
    <row r="1516" spans="8:11" x14ac:dyDescent="0.25">
      <c r="H1516" s="394" t="str">
        <f t="shared" si="109"/>
        <v/>
      </c>
      <c r="I1516" s="394" t="str">
        <f t="shared" si="110"/>
        <v/>
      </c>
      <c r="J1516" s="394" t="str">
        <f t="shared" si="111"/>
        <v/>
      </c>
      <c r="K1516" s="394" t="str">
        <f t="shared" si="112"/>
        <v/>
      </c>
    </row>
    <row r="1517" spans="8:11" x14ac:dyDescent="0.25">
      <c r="H1517" s="394" t="str">
        <f t="shared" si="109"/>
        <v/>
      </c>
      <c r="I1517" s="394" t="str">
        <f t="shared" si="110"/>
        <v/>
      </c>
      <c r="J1517" s="394" t="str">
        <f t="shared" si="111"/>
        <v/>
      </c>
      <c r="K1517" s="394" t="str">
        <f t="shared" si="112"/>
        <v/>
      </c>
    </row>
    <row r="1518" spans="8:11" x14ac:dyDescent="0.25">
      <c r="H1518" s="394" t="str">
        <f t="shared" si="109"/>
        <v/>
      </c>
      <c r="I1518" s="394" t="str">
        <f t="shared" si="110"/>
        <v/>
      </c>
      <c r="J1518" s="394" t="str">
        <f t="shared" si="111"/>
        <v/>
      </c>
      <c r="K1518" s="394" t="str">
        <f t="shared" si="112"/>
        <v/>
      </c>
    </row>
    <row r="1519" spans="8:11" x14ac:dyDescent="0.25">
      <c r="H1519" s="394" t="str">
        <f t="shared" si="109"/>
        <v/>
      </c>
      <c r="I1519" s="394" t="str">
        <f t="shared" si="110"/>
        <v/>
      </c>
      <c r="J1519" s="394" t="str">
        <f t="shared" si="111"/>
        <v/>
      </c>
      <c r="K1519" s="394" t="str">
        <f t="shared" si="112"/>
        <v/>
      </c>
    </row>
    <row r="1520" spans="8:11" x14ac:dyDescent="0.25">
      <c r="H1520" s="394" t="str">
        <f t="shared" si="109"/>
        <v/>
      </c>
      <c r="I1520" s="394" t="str">
        <f t="shared" si="110"/>
        <v/>
      </c>
      <c r="J1520" s="394" t="str">
        <f t="shared" si="111"/>
        <v/>
      </c>
      <c r="K1520" s="394" t="str">
        <f t="shared" si="112"/>
        <v/>
      </c>
    </row>
    <row r="1521" spans="8:11" x14ac:dyDescent="0.25">
      <c r="H1521" s="394" t="str">
        <f t="shared" si="109"/>
        <v/>
      </c>
      <c r="I1521" s="394" t="str">
        <f t="shared" si="110"/>
        <v/>
      </c>
      <c r="J1521" s="394" t="str">
        <f t="shared" si="111"/>
        <v/>
      </c>
      <c r="K1521" s="394" t="str">
        <f t="shared" si="112"/>
        <v/>
      </c>
    </row>
    <row r="1522" spans="8:11" x14ac:dyDescent="0.25">
      <c r="H1522" s="394" t="str">
        <f t="shared" si="109"/>
        <v/>
      </c>
      <c r="I1522" s="394" t="str">
        <f t="shared" si="110"/>
        <v/>
      </c>
      <c r="J1522" s="394" t="str">
        <f t="shared" si="111"/>
        <v/>
      </c>
      <c r="K1522" s="394" t="str">
        <f t="shared" si="112"/>
        <v/>
      </c>
    </row>
    <row r="1523" spans="8:11" x14ac:dyDescent="0.25">
      <c r="H1523" s="394" t="str">
        <f t="shared" si="109"/>
        <v/>
      </c>
      <c r="I1523" s="394" t="str">
        <f t="shared" si="110"/>
        <v/>
      </c>
      <c r="J1523" s="394" t="str">
        <f t="shared" si="111"/>
        <v/>
      </c>
      <c r="K1523" s="394" t="str">
        <f t="shared" si="112"/>
        <v/>
      </c>
    </row>
    <row r="1524" spans="8:11" x14ac:dyDescent="0.25">
      <c r="H1524" s="394" t="str">
        <f t="shared" si="109"/>
        <v/>
      </c>
      <c r="I1524" s="394" t="str">
        <f t="shared" si="110"/>
        <v/>
      </c>
      <c r="J1524" s="394" t="str">
        <f t="shared" si="111"/>
        <v/>
      </c>
      <c r="K1524" s="394" t="str">
        <f t="shared" si="112"/>
        <v/>
      </c>
    </row>
    <row r="1525" spans="8:11" x14ac:dyDescent="0.25">
      <c r="H1525" s="394" t="str">
        <f t="shared" si="109"/>
        <v/>
      </c>
      <c r="I1525" s="394" t="str">
        <f t="shared" si="110"/>
        <v/>
      </c>
      <c r="J1525" s="394" t="str">
        <f t="shared" si="111"/>
        <v/>
      </c>
      <c r="K1525" s="394" t="str">
        <f t="shared" si="112"/>
        <v/>
      </c>
    </row>
    <row r="1526" spans="8:11" x14ac:dyDescent="0.25">
      <c r="H1526" s="394" t="str">
        <f t="shared" si="109"/>
        <v/>
      </c>
      <c r="I1526" s="394" t="str">
        <f t="shared" si="110"/>
        <v/>
      </c>
      <c r="J1526" s="394" t="str">
        <f t="shared" si="111"/>
        <v/>
      </c>
      <c r="K1526" s="394" t="str">
        <f t="shared" si="112"/>
        <v/>
      </c>
    </row>
    <row r="1527" spans="8:11" x14ac:dyDescent="0.25">
      <c r="H1527" s="394" t="str">
        <f t="shared" si="109"/>
        <v/>
      </c>
      <c r="I1527" s="394" t="str">
        <f t="shared" si="110"/>
        <v/>
      </c>
      <c r="J1527" s="394" t="str">
        <f t="shared" si="111"/>
        <v/>
      </c>
      <c r="K1527" s="394" t="str">
        <f t="shared" si="112"/>
        <v/>
      </c>
    </row>
    <row r="1528" spans="8:11" x14ac:dyDescent="0.25">
      <c r="H1528" s="394" t="str">
        <f t="shared" si="109"/>
        <v/>
      </c>
      <c r="I1528" s="394" t="str">
        <f t="shared" si="110"/>
        <v/>
      </c>
      <c r="J1528" s="394" t="str">
        <f t="shared" si="111"/>
        <v/>
      </c>
      <c r="K1528" s="394" t="str">
        <f t="shared" si="112"/>
        <v/>
      </c>
    </row>
    <row r="1529" spans="8:11" x14ac:dyDescent="0.25">
      <c r="H1529" s="394" t="str">
        <f t="shared" si="109"/>
        <v/>
      </c>
      <c r="I1529" s="394" t="str">
        <f t="shared" si="110"/>
        <v/>
      </c>
      <c r="J1529" s="394" t="str">
        <f t="shared" si="111"/>
        <v/>
      </c>
      <c r="K1529" s="394" t="str">
        <f t="shared" si="112"/>
        <v/>
      </c>
    </row>
    <row r="1530" spans="8:11" x14ac:dyDescent="0.25">
      <c r="H1530" s="394" t="str">
        <f t="shared" si="109"/>
        <v/>
      </c>
      <c r="I1530" s="394" t="str">
        <f t="shared" si="110"/>
        <v/>
      </c>
      <c r="J1530" s="394" t="str">
        <f t="shared" si="111"/>
        <v/>
      </c>
      <c r="K1530" s="394" t="str">
        <f t="shared" si="112"/>
        <v/>
      </c>
    </row>
    <row r="1531" spans="8:11" x14ac:dyDescent="0.25">
      <c r="H1531" s="394" t="str">
        <f t="shared" si="109"/>
        <v/>
      </c>
      <c r="I1531" s="394" t="str">
        <f t="shared" si="110"/>
        <v/>
      </c>
      <c r="J1531" s="394" t="str">
        <f t="shared" si="111"/>
        <v/>
      </c>
      <c r="K1531" s="394" t="str">
        <f t="shared" si="112"/>
        <v/>
      </c>
    </row>
    <row r="1532" spans="8:11" x14ac:dyDescent="0.25">
      <c r="H1532" s="394" t="str">
        <f t="shared" si="109"/>
        <v/>
      </c>
      <c r="I1532" s="394" t="str">
        <f t="shared" si="110"/>
        <v/>
      </c>
      <c r="J1532" s="394" t="str">
        <f t="shared" si="111"/>
        <v/>
      </c>
      <c r="K1532" s="394" t="str">
        <f t="shared" si="112"/>
        <v/>
      </c>
    </row>
    <row r="1533" spans="8:11" x14ac:dyDescent="0.25">
      <c r="H1533" s="394" t="str">
        <f t="shared" si="109"/>
        <v/>
      </c>
      <c r="I1533" s="394" t="str">
        <f t="shared" si="110"/>
        <v/>
      </c>
      <c r="J1533" s="394" t="str">
        <f t="shared" si="111"/>
        <v/>
      </c>
      <c r="K1533" s="394" t="str">
        <f t="shared" si="112"/>
        <v/>
      </c>
    </row>
    <row r="1534" spans="8:11" x14ac:dyDescent="0.25">
      <c r="H1534" s="394" t="str">
        <f t="shared" si="109"/>
        <v/>
      </c>
      <c r="I1534" s="394" t="str">
        <f t="shared" si="110"/>
        <v/>
      </c>
      <c r="J1534" s="394" t="str">
        <f t="shared" si="111"/>
        <v/>
      </c>
      <c r="K1534" s="394" t="str">
        <f t="shared" si="112"/>
        <v/>
      </c>
    </row>
    <row r="1535" spans="8:11" x14ac:dyDescent="0.25">
      <c r="H1535" s="394" t="str">
        <f t="shared" si="109"/>
        <v/>
      </c>
      <c r="I1535" s="394" t="str">
        <f t="shared" si="110"/>
        <v/>
      </c>
      <c r="J1535" s="394" t="str">
        <f t="shared" si="111"/>
        <v/>
      </c>
      <c r="K1535" s="394" t="str">
        <f t="shared" si="112"/>
        <v/>
      </c>
    </row>
    <row r="1536" spans="8:11" x14ac:dyDescent="0.25">
      <c r="H1536" s="394" t="str">
        <f t="shared" si="109"/>
        <v/>
      </c>
      <c r="I1536" s="394" t="str">
        <f t="shared" si="110"/>
        <v/>
      </c>
      <c r="J1536" s="394" t="str">
        <f t="shared" si="111"/>
        <v/>
      </c>
      <c r="K1536" s="394" t="str">
        <f t="shared" si="112"/>
        <v/>
      </c>
    </row>
    <row r="1537" spans="8:11" x14ac:dyDescent="0.25">
      <c r="H1537" s="394" t="str">
        <f t="shared" si="109"/>
        <v/>
      </c>
      <c r="I1537" s="394" t="str">
        <f t="shared" si="110"/>
        <v/>
      </c>
      <c r="J1537" s="394" t="str">
        <f t="shared" si="111"/>
        <v/>
      </c>
      <c r="K1537" s="394" t="str">
        <f t="shared" si="112"/>
        <v/>
      </c>
    </row>
    <row r="1538" spans="8:11" x14ac:dyDescent="0.25">
      <c r="H1538" s="394" t="str">
        <f t="shared" si="109"/>
        <v/>
      </c>
      <c r="I1538" s="394" t="str">
        <f t="shared" si="110"/>
        <v/>
      </c>
      <c r="J1538" s="394" t="str">
        <f t="shared" si="111"/>
        <v/>
      </c>
      <c r="K1538" s="394" t="str">
        <f t="shared" si="112"/>
        <v/>
      </c>
    </row>
    <row r="1539" spans="8:11" x14ac:dyDescent="0.25">
      <c r="H1539" s="394" t="str">
        <f t="shared" si="109"/>
        <v/>
      </c>
      <c r="I1539" s="394" t="str">
        <f t="shared" si="110"/>
        <v/>
      </c>
      <c r="J1539" s="394" t="str">
        <f t="shared" si="111"/>
        <v/>
      </c>
      <c r="K1539" s="394" t="str">
        <f t="shared" si="112"/>
        <v/>
      </c>
    </row>
    <row r="1540" spans="8:11" x14ac:dyDescent="0.25">
      <c r="H1540" s="394" t="str">
        <f t="shared" si="109"/>
        <v/>
      </c>
      <c r="I1540" s="394" t="str">
        <f t="shared" si="110"/>
        <v/>
      </c>
      <c r="J1540" s="394" t="str">
        <f t="shared" si="111"/>
        <v/>
      </c>
      <c r="K1540" s="394" t="str">
        <f t="shared" si="112"/>
        <v/>
      </c>
    </row>
    <row r="1541" spans="8:11" x14ac:dyDescent="0.25">
      <c r="H1541" s="394" t="str">
        <f t="shared" si="109"/>
        <v/>
      </c>
      <c r="I1541" s="394" t="str">
        <f t="shared" si="110"/>
        <v/>
      </c>
      <c r="J1541" s="394" t="str">
        <f t="shared" si="111"/>
        <v/>
      </c>
      <c r="K1541" s="394" t="str">
        <f t="shared" si="112"/>
        <v/>
      </c>
    </row>
    <row r="1542" spans="8:11" x14ac:dyDescent="0.25">
      <c r="H1542" s="394" t="str">
        <f t="shared" si="109"/>
        <v/>
      </c>
      <c r="I1542" s="394" t="str">
        <f t="shared" si="110"/>
        <v/>
      </c>
      <c r="J1542" s="394" t="str">
        <f t="shared" si="111"/>
        <v/>
      </c>
      <c r="K1542" s="394" t="str">
        <f t="shared" si="112"/>
        <v/>
      </c>
    </row>
    <row r="1543" spans="8:11" x14ac:dyDescent="0.25">
      <c r="H1543" s="394" t="str">
        <f t="shared" si="109"/>
        <v/>
      </c>
      <c r="I1543" s="394" t="str">
        <f t="shared" si="110"/>
        <v/>
      </c>
      <c r="J1543" s="394" t="str">
        <f t="shared" si="111"/>
        <v/>
      </c>
      <c r="K1543" s="394" t="str">
        <f t="shared" si="112"/>
        <v/>
      </c>
    </row>
    <row r="1544" spans="8:11" x14ac:dyDescent="0.25">
      <c r="H1544" s="394" t="str">
        <f t="shared" si="109"/>
        <v/>
      </c>
      <c r="I1544" s="394" t="str">
        <f t="shared" si="110"/>
        <v/>
      </c>
      <c r="J1544" s="394" t="str">
        <f t="shared" si="111"/>
        <v/>
      </c>
      <c r="K1544" s="394" t="str">
        <f t="shared" si="112"/>
        <v/>
      </c>
    </row>
    <row r="1545" spans="8:11" x14ac:dyDescent="0.25">
      <c r="H1545" s="394" t="str">
        <f t="shared" si="109"/>
        <v/>
      </c>
      <c r="I1545" s="394" t="str">
        <f t="shared" si="110"/>
        <v/>
      </c>
      <c r="J1545" s="394" t="str">
        <f t="shared" si="111"/>
        <v/>
      </c>
      <c r="K1545" s="394" t="str">
        <f t="shared" si="112"/>
        <v/>
      </c>
    </row>
    <row r="1546" spans="8:11" x14ac:dyDescent="0.25">
      <c r="H1546" s="394" t="str">
        <f t="shared" si="109"/>
        <v/>
      </c>
      <c r="I1546" s="394" t="str">
        <f t="shared" si="110"/>
        <v/>
      </c>
      <c r="J1546" s="394" t="str">
        <f t="shared" si="111"/>
        <v/>
      </c>
      <c r="K1546" s="394" t="str">
        <f t="shared" si="112"/>
        <v/>
      </c>
    </row>
    <row r="1547" spans="8:11" x14ac:dyDescent="0.25">
      <c r="H1547" s="394" t="str">
        <f t="shared" si="109"/>
        <v/>
      </c>
      <c r="I1547" s="394" t="str">
        <f t="shared" si="110"/>
        <v/>
      </c>
      <c r="J1547" s="394" t="str">
        <f t="shared" si="111"/>
        <v/>
      </c>
      <c r="K1547" s="394" t="str">
        <f t="shared" si="112"/>
        <v/>
      </c>
    </row>
    <row r="1548" spans="8:11" x14ac:dyDescent="0.25">
      <c r="H1548" s="394" t="str">
        <f t="shared" si="109"/>
        <v/>
      </c>
      <c r="I1548" s="394" t="str">
        <f t="shared" si="110"/>
        <v/>
      </c>
      <c r="J1548" s="394" t="str">
        <f t="shared" si="111"/>
        <v/>
      </c>
      <c r="K1548" s="394" t="str">
        <f t="shared" si="112"/>
        <v/>
      </c>
    </row>
    <row r="1549" spans="8:11" x14ac:dyDescent="0.25">
      <c r="H1549" s="394" t="str">
        <f t="shared" si="109"/>
        <v/>
      </c>
      <c r="I1549" s="394" t="str">
        <f t="shared" si="110"/>
        <v/>
      </c>
      <c r="J1549" s="394" t="str">
        <f t="shared" si="111"/>
        <v/>
      </c>
      <c r="K1549" s="394" t="str">
        <f t="shared" si="112"/>
        <v/>
      </c>
    </row>
    <row r="1550" spans="8:11" x14ac:dyDescent="0.25">
      <c r="H1550" s="394" t="str">
        <f t="shared" si="109"/>
        <v/>
      </c>
      <c r="I1550" s="394" t="str">
        <f t="shared" si="110"/>
        <v/>
      </c>
      <c r="J1550" s="394" t="str">
        <f t="shared" si="111"/>
        <v/>
      </c>
      <c r="K1550" s="394" t="str">
        <f t="shared" si="112"/>
        <v/>
      </c>
    </row>
    <row r="1551" spans="8:11" x14ac:dyDescent="0.25">
      <c r="H1551" s="394" t="str">
        <f t="shared" si="109"/>
        <v/>
      </c>
      <c r="I1551" s="394" t="str">
        <f t="shared" si="110"/>
        <v/>
      </c>
      <c r="J1551" s="394" t="str">
        <f t="shared" si="111"/>
        <v/>
      </c>
      <c r="K1551" s="394" t="str">
        <f t="shared" si="112"/>
        <v/>
      </c>
    </row>
    <row r="1552" spans="8:11" x14ac:dyDescent="0.25">
      <c r="H1552" s="394" t="str">
        <f t="shared" si="109"/>
        <v/>
      </c>
      <c r="I1552" s="394" t="str">
        <f t="shared" si="110"/>
        <v/>
      </c>
      <c r="J1552" s="394" t="str">
        <f t="shared" si="111"/>
        <v/>
      </c>
      <c r="K1552" s="394" t="str">
        <f t="shared" si="112"/>
        <v/>
      </c>
    </row>
    <row r="1553" spans="8:11" x14ac:dyDescent="0.25">
      <c r="H1553" s="394" t="str">
        <f t="shared" si="109"/>
        <v/>
      </c>
      <c r="I1553" s="394" t="str">
        <f t="shared" si="110"/>
        <v/>
      </c>
      <c r="J1553" s="394" t="str">
        <f t="shared" si="111"/>
        <v/>
      </c>
      <c r="K1553" s="394" t="str">
        <f t="shared" si="112"/>
        <v/>
      </c>
    </row>
    <row r="1554" spans="8:11" x14ac:dyDescent="0.25">
      <c r="H1554" s="394" t="str">
        <f t="shared" si="109"/>
        <v/>
      </c>
      <c r="I1554" s="394" t="str">
        <f t="shared" si="110"/>
        <v/>
      </c>
      <c r="J1554" s="394" t="str">
        <f t="shared" si="111"/>
        <v/>
      </c>
      <c r="K1554" s="394" t="str">
        <f t="shared" si="112"/>
        <v/>
      </c>
    </row>
    <row r="1555" spans="8:11" x14ac:dyDescent="0.25">
      <c r="H1555" s="394" t="str">
        <f t="shared" si="109"/>
        <v/>
      </c>
      <c r="I1555" s="394" t="str">
        <f t="shared" si="110"/>
        <v/>
      </c>
      <c r="J1555" s="394" t="str">
        <f t="shared" si="111"/>
        <v/>
      </c>
      <c r="K1555" s="394" t="str">
        <f t="shared" si="112"/>
        <v/>
      </c>
    </row>
    <row r="1556" spans="8:11" x14ac:dyDescent="0.25">
      <c r="H1556" s="394" t="str">
        <f t="shared" si="109"/>
        <v/>
      </c>
      <c r="I1556" s="394" t="str">
        <f t="shared" si="110"/>
        <v/>
      </c>
      <c r="J1556" s="394" t="str">
        <f t="shared" si="111"/>
        <v/>
      </c>
      <c r="K1556" s="394" t="str">
        <f t="shared" si="112"/>
        <v/>
      </c>
    </row>
    <row r="1557" spans="8:11" x14ac:dyDescent="0.25">
      <c r="H1557" s="394" t="str">
        <f t="shared" si="109"/>
        <v/>
      </c>
      <c r="I1557" s="394" t="str">
        <f t="shared" si="110"/>
        <v/>
      </c>
      <c r="J1557" s="394" t="str">
        <f t="shared" si="111"/>
        <v/>
      </c>
      <c r="K1557" s="394" t="str">
        <f t="shared" si="112"/>
        <v/>
      </c>
    </row>
    <row r="1558" spans="8:11" x14ac:dyDescent="0.25">
      <c r="H1558" s="394" t="str">
        <f t="shared" si="109"/>
        <v/>
      </c>
      <c r="I1558" s="394" t="str">
        <f t="shared" si="110"/>
        <v/>
      </c>
      <c r="J1558" s="394" t="str">
        <f t="shared" si="111"/>
        <v/>
      </c>
      <c r="K1558" s="394" t="str">
        <f t="shared" si="112"/>
        <v/>
      </c>
    </row>
    <row r="1559" spans="8:11" x14ac:dyDescent="0.25">
      <c r="H1559" s="394" t="str">
        <f t="shared" si="109"/>
        <v/>
      </c>
      <c r="I1559" s="394" t="str">
        <f t="shared" si="110"/>
        <v/>
      </c>
      <c r="J1559" s="394" t="str">
        <f t="shared" si="111"/>
        <v/>
      </c>
      <c r="K1559" s="394" t="str">
        <f t="shared" si="112"/>
        <v/>
      </c>
    </row>
    <row r="1560" spans="8:11" x14ac:dyDescent="0.25">
      <c r="H1560" s="394" t="str">
        <f t="shared" si="109"/>
        <v/>
      </c>
      <c r="I1560" s="394" t="str">
        <f t="shared" si="110"/>
        <v/>
      </c>
      <c r="J1560" s="394" t="str">
        <f t="shared" si="111"/>
        <v/>
      </c>
      <c r="K1560" s="394" t="str">
        <f t="shared" si="112"/>
        <v/>
      </c>
    </row>
    <row r="1561" spans="8:11" x14ac:dyDescent="0.25">
      <c r="H1561" s="394" t="str">
        <f t="shared" si="109"/>
        <v/>
      </c>
      <c r="I1561" s="394" t="str">
        <f t="shared" si="110"/>
        <v/>
      </c>
      <c r="J1561" s="394" t="str">
        <f t="shared" si="111"/>
        <v/>
      </c>
      <c r="K1561" s="394" t="str">
        <f t="shared" si="112"/>
        <v/>
      </c>
    </row>
    <row r="1562" spans="8:11" x14ac:dyDescent="0.25">
      <c r="H1562" s="394" t="str">
        <f t="shared" si="109"/>
        <v/>
      </c>
      <c r="I1562" s="394" t="str">
        <f t="shared" si="110"/>
        <v/>
      </c>
      <c r="J1562" s="394" t="str">
        <f t="shared" si="111"/>
        <v/>
      </c>
      <c r="K1562" s="394" t="str">
        <f t="shared" si="112"/>
        <v/>
      </c>
    </row>
    <row r="1563" spans="8:11" x14ac:dyDescent="0.25">
      <c r="H1563" s="394" t="str">
        <f t="shared" si="109"/>
        <v/>
      </c>
      <c r="I1563" s="394" t="str">
        <f t="shared" si="110"/>
        <v/>
      </c>
      <c r="J1563" s="394" t="str">
        <f t="shared" si="111"/>
        <v/>
      </c>
      <c r="K1563" s="394" t="str">
        <f t="shared" si="112"/>
        <v/>
      </c>
    </row>
    <row r="1564" spans="8:11" x14ac:dyDescent="0.25">
      <c r="H1564" s="394" t="str">
        <f t="shared" si="109"/>
        <v/>
      </c>
      <c r="I1564" s="394" t="str">
        <f t="shared" si="110"/>
        <v/>
      </c>
      <c r="J1564" s="394" t="str">
        <f t="shared" si="111"/>
        <v/>
      </c>
      <c r="K1564" s="394" t="str">
        <f t="shared" si="112"/>
        <v/>
      </c>
    </row>
    <row r="1565" spans="8:11" x14ac:dyDescent="0.25">
      <c r="H1565" s="394" t="str">
        <f t="shared" si="109"/>
        <v/>
      </c>
      <c r="I1565" s="394" t="str">
        <f t="shared" si="110"/>
        <v/>
      </c>
      <c r="J1565" s="394" t="str">
        <f t="shared" si="111"/>
        <v/>
      </c>
      <c r="K1565" s="394" t="str">
        <f t="shared" si="112"/>
        <v/>
      </c>
    </row>
    <row r="1566" spans="8:11" x14ac:dyDescent="0.25">
      <c r="H1566" s="394" t="str">
        <f t="shared" si="109"/>
        <v/>
      </c>
      <c r="I1566" s="394" t="str">
        <f t="shared" si="110"/>
        <v/>
      </c>
      <c r="J1566" s="394" t="str">
        <f t="shared" si="111"/>
        <v/>
      </c>
      <c r="K1566" s="394" t="str">
        <f t="shared" si="112"/>
        <v/>
      </c>
    </row>
    <row r="1567" spans="8:11" x14ac:dyDescent="0.25">
      <c r="H1567" s="394" t="str">
        <f t="shared" si="109"/>
        <v/>
      </c>
      <c r="I1567" s="394" t="str">
        <f t="shared" si="110"/>
        <v/>
      </c>
      <c r="J1567" s="394" t="str">
        <f t="shared" si="111"/>
        <v/>
      </c>
      <c r="K1567" s="394" t="str">
        <f t="shared" si="112"/>
        <v/>
      </c>
    </row>
    <row r="1568" spans="8:11" x14ac:dyDescent="0.25">
      <c r="H1568" s="394" t="str">
        <f t="shared" si="109"/>
        <v/>
      </c>
      <c r="I1568" s="394" t="str">
        <f t="shared" si="110"/>
        <v/>
      </c>
      <c r="J1568" s="394" t="str">
        <f t="shared" si="111"/>
        <v/>
      </c>
      <c r="K1568" s="394" t="str">
        <f t="shared" si="112"/>
        <v/>
      </c>
    </row>
    <row r="1569" spans="8:11" x14ac:dyDescent="0.25">
      <c r="H1569" s="394" t="str">
        <f t="shared" si="109"/>
        <v/>
      </c>
      <c r="I1569" s="394" t="str">
        <f t="shared" si="110"/>
        <v/>
      </c>
      <c r="J1569" s="394" t="str">
        <f t="shared" si="111"/>
        <v/>
      </c>
      <c r="K1569" s="394" t="str">
        <f t="shared" si="112"/>
        <v/>
      </c>
    </row>
    <row r="1570" spans="8:11" x14ac:dyDescent="0.25">
      <c r="H1570" s="394" t="str">
        <f t="shared" si="109"/>
        <v/>
      </c>
      <c r="I1570" s="394" t="str">
        <f t="shared" si="110"/>
        <v/>
      </c>
      <c r="J1570" s="394" t="str">
        <f t="shared" si="111"/>
        <v/>
      </c>
      <c r="K1570" s="394" t="str">
        <f t="shared" si="112"/>
        <v/>
      </c>
    </row>
    <row r="1571" spans="8:11" x14ac:dyDescent="0.25">
      <c r="H1571" s="394" t="str">
        <f t="shared" si="109"/>
        <v/>
      </c>
      <c r="I1571" s="394" t="str">
        <f t="shared" si="110"/>
        <v/>
      </c>
      <c r="J1571" s="394" t="str">
        <f t="shared" si="111"/>
        <v/>
      </c>
      <c r="K1571" s="394" t="str">
        <f t="shared" si="112"/>
        <v/>
      </c>
    </row>
    <row r="1572" spans="8:11" x14ac:dyDescent="0.25">
      <c r="H1572" s="394" t="str">
        <f t="shared" si="109"/>
        <v/>
      </c>
      <c r="I1572" s="394" t="str">
        <f t="shared" si="110"/>
        <v/>
      </c>
      <c r="J1572" s="394" t="str">
        <f t="shared" si="111"/>
        <v/>
      </c>
      <c r="K1572" s="394" t="str">
        <f t="shared" si="112"/>
        <v/>
      </c>
    </row>
    <row r="1573" spans="8:11" x14ac:dyDescent="0.25">
      <c r="H1573" s="394" t="str">
        <f t="shared" si="109"/>
        <v/>
      </c>
      <c r="I1573" s="394" t="str">
        <f t="shared" si="110"/>
        <v/>
      </c>
      <c r="J1573" s="394" t="str">
        <f t="shared" si="111"/>
        <v/>
      </c>
      <c r="K1573" s="394" t="str">
        <f t="shared" si="112"/>
        <v/>
      </c>
    </row>
    <row r="1574" spans="8:11" x14ac:dyDescent="0.25">
      <c r="H1574" s="394" t="str">
        <f t="shared" si="109"/>
        <v/>
      </c>
      <c r="I1574" s="394" t="str">
        <f t="shared" si="110"/>
        <v/>
      </c>
      <c r="J1574" s="394" t="str">
        <f t="shared" si="111"/>
        <v/>
      </c>
      <c r="K1574" s="394" t="str">
        <f t="shared" si="112"/>
        <v/>
      </c>
    </row>
    <row r="1575" spans="8:11" x14ac:dyDescent="0.25">
      <c r="H1575" s="394" t="str">
        <f t="shared" si="109"/>
        <v/>
      </c>
      <c r="I1575" s="394" t="str">
        <f t="shared" si="110"/>
        <v/>
      </c>
      <c r="J1575" s="394" t="str">
        <f t="shared" si="111"/>
        <v/>
      </c>
      <c r="K1575" s="394" t="str">
        <f t="shared" si="112"/>
        <v/>
      </c>
    </row>
    <row r="1576" spans="8:11" x14ac:dyDescent="0.25">
      <c r="H1576" s="394" t="str">
        <f t="shared" si="109"/>
        <v/>
      </c>
      <c r="I1576" s="394" t="str">
        <f t="shared" si="110"/>
        <v/>
      </c>
      <c r="J1576" s="394" t="str">
        <f t="shared" si="111"/>
        <v/>
      </c>
      <c r="K1576" s="394" t="str">
        <f t="shared" si="112"/>
        <v/>
      </c>
    </row>
    <row r="1577" spans="8:11" x14ac:dyDescent="0.25">
      <c r="H1577" s="394" t="str">
        <f t="shared" ref="H1577:H1640" si="113">IF($C599="","",ROUND(($B$2*$F599*($B$5/1000))/$B$6,2))</f>
        <v/>
      </c>
      <c r="I1577" s="394" t="str">
        <f t="shared" ref="I1577:I1640" si="114">IF($C599="","",ROUND(($B$3*$F599*($B$5/1000))/$B$6,2))</f>
        <v/>
      </c>
      <c r="J1577" s="394" t="str">
        <f t="shared" ref="J1577:J1640" si="115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6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13"/>
        <v/>
      </c>
      <c r="I1578" s="394" t="str">
        <f t="shared" si="114"/>
        <v/>
      </c>
      <c r="J1578" s="394" t="str">
        <f t="shared" si="115"/>
        <v/>
      </c>
      <c r="K1578" s="394" t="str">
        <f t="shared" si="116"/>
        <v/>
      </c>
    </row>
    <row r="1579" spans="8:11" x14ac:dyDescent="0.25">
      <c r="H1579" s="394" t="str">
        <f t="shared" si="113"/>
        <v/>
      </c>
      <c r="I1579" s="394" t="str">
        <f t="shared" si="114"/>
        <v/>
      </c>
      <c r="J1579" s="394" t="str">
        <f t="shared" si="115"/>
        <v/>
      </c>
      <c r="K1579" s="394" t="str">
        <f t="shared" si="116"/>
        <v/>
      </c>
    </row>
    <row r="1580" spans="8:11" x14ac:dyDescent="0.25">
      <c r="H1580" s="394" t="str">
        <f t="shared" si="113"/>
        <v/>
      </c>
      <c r="I1580" s="394" t="str">
        <f t="shared" si="114"/>
        <v/>
      </c>
      <c r="J1580" s="394" t="str">
        <f t="shared" si="115"/>
        <v/>
      </c>
      <c r="K1580" s="394" t="str">
        <f t="shared" si="116"/>
        <v/>
      </c>
    </row>
    <row r="1581" spans="8:11" x14ac:dyDescent="0.25">
      <c r="H1581" s="394" t="str">
        <f t="shared" si="113"/>
        <v/>
      </c>
      <c r="I1581" s="394" t="str">
        <f t="shared" si="114"/>
        <v/>
      </c>
      <c r="J1581" s="394" t="str">
        <f t="shared" si="115"/>
        <v/>
      </c>
      <c r="K1581" s="394" t="str">
        <f t="shared" si="116"/>
        <v/>
      </c>
    </row>
    <row r="1582" spans="8:11" x14ac:dyDescent="0.25">
      <c r="H1582" s="394" t="str">
        <f t="shared" si="113"/>
        <v/>
      </c>
      <c r="I1582" s="394" t="str">
        <f t="shared" si="114"/>
        <v/>
      </c>
      <c r="J1582" s="394" t="str">
        <f t="shared" si="115"/>
        <v/>
      </c>
      <c r="K1582" s="394" t="str">
        <f t="shared" si="116"/>
        <v/>
      </c>
    </row>
    <row r="1583" spans="8:11" x14ac:dyDescent="0.25">
      <c r="H1583" s="394" t="str">
        <f t="shared" si="113"/>
        <v/>
      </c>
      <c r="I1583" s="394" t="str">
        <f t="shared" si="114"/>
        <v/>
      </c>
      <c r="J1583" s="394" t="str">
        <f t="shared" si="115"/>
        <v/>
      </c>
      <c r="K1583" s="394" t="str">
        <f t="shared" si="116"/>
        <v/>
      </c>
    </row>
    <row r="1584" spans="8:11" x14ac:dyDescent="0.25">
      <c r="H1584" s="394" t="str">
        <f t="shared" si="113"/>
        <v/>
      </c>
      <c r="I1584" s="394" t="str">
        <f t="shared" si="114"/>
        <v/>
      </c>
      <c r="J1584" s="394" t="str">
        <f t="shared" si="115"/>
        <v/>
      </c>
      <c r="K1584" s="394" t="str">
        <f t="shared" si="116"/>
        <v/>
      </c>
    </row>
    <row r="1585" spans="8:11" x14ac:dyDescent="0.25">
      <c r="H1585" s="394" t="str">
        <f t="shared" si="113"/>
        <v/>
      </c>
      <c r="I1585" s="394" t="str">
        <f t="shared" si="114"/>
        <v/>
      </c>
      <c r="J1585" s="394" t="str">
        <f t="shared" si="115"/>
        <v/>
      </c>
      <c r="K1585" s="394" t="str">
        <f t="shared" si="116"/>
        <v/>
      </c>
    </row>
    <row r="1586" spans="8:11" x14ac:dyDescent="0.25">
      <c r="H1586" s="394" t="str">
        <f t="shared" si="113"/>
        <v/>
      </c>
      <c r="I1586" s="394" t="str">
        <f t="shared" si="114"/>
        <v/>
      </c>
      <c r="J1586" s="394" t="str">
        <f t="shared" si="115"/>
        <v/>
      </c>
      <c r="K1586" s="394" t="str">
        <f t="shared" si="116"/>
        <v/>
      </c>
    </row>
    <row r="1587" spans="8:11" x14ac:dyDescent="0.25">
      <c r="H1587" s="394" t="str">
        <f t="shared" si="113"/>
        <v/>
      </c>
      <c r="I1587" s="394" t="str">
        <f t="shared" si="114"/>
        <v/>
      </c>
      <c r="J1587" s="394" t="str">
        <f t="shared" si="115"/>
        <v/>
      </c>
      <c r="K1587" s="394" t="str">
        <f t="shared" si="116"/>
        <v/>
      </c>
    </row>
    <row r="1588" spans="8:11" x14ac:dyDescent="0.25">
      <c r="H1588" s="394" t="str">
        <f t="shared" si="113"/>
        <v/>
      </c>
      <c r="I1588" s="394" t="str">
        <f t="shared" si="114"/>
        <v/>
      </c>
      <c r="J1588" s="394" t="str">
        <f t="shared" si="115"/>
        <v/>
      </c>
      <c r="K1588" s="394" t="str">
        <f t="shared" si="116"/>
        <v/>
      </c>
    </row>
    <row r="1589" spans="8:11" x14ac:dyDescent="0.25">
      <c r="H1589" s="394" t="str">
        <f t="shared" si="113"/>
        <v/>
      </c>
      <c r="I1589" s="394" t="str">
        <f t="shared" si="114"/>
        <v/>
      </c>
      <c r="J1589" s="394" t="str">
        <f t="shared" si="115"/>
        <v/>
      </c>
      <c r="K1589" s="394" t="str">
        <f t="shared" si="116"/>
        <v/>
      </c>
    </row>
    <row r="1590" spans="8:11" x14ac:dyDescent="0.25">
      <c r="H1590" s="394" t="str">
        <f t="shared" si="113"/>
        <v/>
      </c>
      <c r="I1590" s="394" t="str">
        <f t="shared" si="114"/>
        <v/>
      </c>
      <c r="J1590" s="394" t="str">
        <f t="shared" si="115"/>
        <v/>
      </c>
      <c r="K1590" s="394" t="str">
        <f t="shared" si="116"/>
        <v/>
      </c>
    </row>
    <row r="1591" spans="8:11" x14ac:dyDescent="0.25">
      <c r="H1591" s="394" t="str">
        <f t="shared" si="113"/>
        <v/>
      </c>
      <c r="I1591" s="394" t="str">
        <f t="shared" si="114"/>
        <v/>
      </c>
      <c r="J1591" s="394" t="str">
        <f t="shared" si="115"/>
        <v/>
      </c>
      <c r="K1591" s="394" t="str">
        <f t="shared" si="116"/>
        <v/>
      </c>
    </row>
    <row r="1592" spans="8:11" x14ac:dyDescent="0.25">
      <c r="H1592" s="394" t="str">
        <f t="shared" si="113"/>
        <v/>
      </c>
      <c r="I1592" s="394" t="str">
        <f t="shared" si="114"/>
        <v/>
      </c>
      <c r="J1592" s="394" t="str">
        <f t="shared" si="115"/>
        <v/>
      </c>
      <c r="K1592" s="394" t="str">
        <f t="shared" si="116"/>
        <v/>
      </c>
    </row>
    <row r="1593" spans="8:11" x14ac:dyDescent="0.25">
      <c r="H1593" s="394" t="str">
        <f t="shared" si="113"/>
        <v/>
      </c>
      <c r="I1593" s="394" t="str">
        <f t="shared" si="114"/>
        <v/>
      </c>
      <c r="J1593" s="394" t="str">
        <f t="shared" si="115"/>
        <v/>
      </c>
      <c r="K1593" s="394" t="str">
        <f t="shared" si="116"/>
        <v/>
      </c>
    </row>
    <row r="1594" spans="8:11" x14ac:dyDescent="0.25">
      <c r="H1594" s="394" t="str">
        <f t="shared" si="113"/>
        <v/>
      </c>
      <c r="I1594" s="394" t="str">
        <f t="shared" si="114"/>
        <v/>
      </c>
      <c r="J1594" s="394" t="str">
        <f t="shared" si="115"/>
        <v/>
      </c>
      <c r="K1594" s="394" t="str">
        <f t="shared" si="116"/>
        <v/>
      </c>
    </row>
    <row r="1595" spans="8:11" x14ac:dyDescent="0.25">
      <c r="H1595" s="394" t="str">
        <f t="shared" si="113"/>
        <v/>
      </c>
      <c r="I1595" s="394" t="str">
        <f t="shared" si="114"/>
        <v/>
      </c>
      <c r="J1595" s="394" t="str">
        <f t="shared" si="115"/>
        <v/>
      </c>
      <c r="K1595" s="394" t="str">
        <f t="shared" si="116"/>
        <v/>
      </c>
    </row>
    <row r="1596" spans="8:11" x14ac:dyDescent="0.25">
      <c r="H1596" s="394" t="str">
        <f t="shared" si="113"/>
        <v/>
      </c>
      <c r="I1596" s="394" t="str">
        <f t="shared" si="114"/>
        <v/>
      </c>
      <c r="J1596" s="394" t="str">
        <f t="shared" si="115"/>
        <v/>
      </c>
      <c r="K1596" s="394" t="str">
        <f t="shared" si="116"/>
        <v/>
      </c>
    </row>
    <row r="1597" spans="8:11" x14ac:dyDescent="0.25">
      <c r="H1597" s="394" t="str">
        <f t="shared" si="113"/>
        <v/>
      </c>
      <c r="I1597" s="394" t="str">
        <f t="shared" si="114"/>
        <v/>
      </c>
      <c r="J1597" s="394" t="str">
        <f t="shared" si="115"/>
        <v/>
      </c>
      <c r="K1597" s="394" t="str">
        <f t="shared" si="116"/>
        <v/>
      </c>
    </row>
    <row r="1598" spans="8:11" x14ac:dyDescent="0.25">
      <c r="H1598" s="394" t="str">
        <f t="shared" si="113"/>
        <v/>
      </c>
      <c r="I1598" s="394" t="str">
        <f t="shared" si="114"/>
        <v/>
      </c>
      <c r="J1598" s="394" t="str">
        <f t="shared" si="115"/>
        <v/>
      </c>
      <c r="K1598" s="394" t="str">
        <f t="shared" si="116"/>
        <v/>
      </c>
    </row>
    <row r="1599" spans="8:11" x14ac:dyDescent="0.25">
      <c r="H1599" s="394" t="str">
        <f t="shared" si="113"/>
        <v/>
      </c>
      <c r="I1599" s="394" t="str">
        <f t="shared" si="114"/>
        <v/>
      </c>
      <c r="J1599" s="394" t="str">
        <f t="shared" si="115"/>
        <v/>
      </c>
      <c r="K1599" s="394" t="str">
        <f t="shared" si="116"/>
        <v/>
      </c>
    </row>
    <row r="1600" spans="8:11" x14ac:dyDescent="0.25">
      <c r="H1600" s="394" t="str">
        <f t="shared" si="113"/>
        <v/>
      </c>
      <c r="I1600" s="394" t="str">
        <f t="shared" si="114"/>
        <v/>
      </c>
      <c r="J1600" s="394" t="str">
        <f t="shared" si="115"/>
        <v/>
      </c>
      <c r="K1600" s="394" t="str">
        <f t="shared" si="116"/>
        <v/>
      </c>
    </row>
    <row r="1601" spans="8:11" x14ac:dyDescent="0.25">
      <c r="H1601" s="394" t="str">
        <f t="shared" si="113"/>
        <v/>
      </c>
      <c r="I1601" s="394" t="str">
        <f t="shared" si="114"/>
        <v/>
      </c>
      <c r="J1601" s="394" t="str">
        <f t="shared" si="115"/>
        <v/>
      </c>
      <c r="K1601" s="394" t="str">
        <f t="shared" si="116"/>
        <v/>
      </c>
    </row>
    <row r="1602" spans="8:11" x14ac:dyDescent="0.25">
      <c r="H1602" s="394" t="str">
        <f t="shared" si="113"/>
        <v/>
      </c>
      <c r="I1602" s="394" t="str">
        <f t="shared" si="114"/>
        <v/>
      </c>
      <c r="J1602" s="394" t="str">
        <f t="shared" si="115"/>
        <v/>
      </c>
      <c r="K1602" s="394" t="str">
        <f t="shared" si="116"/>
        <v/>
      </c>
    </row>
    <row r="1603" spans="8:11" x14ac:dyDescent="0.25">
      <c r="H1603" s="394" t="str">
        <f t="shared" si="113"/>
        <v/>
      </c>
      <c r="I1603" s="394" t="str">
        <f t="shared" si="114"/>
        <v/>
      </c>
      <c r="J1603" s="394" t="str">
        <f t="shared" si="115"/>
        <v/>
      </c>
      <c r="K1603" s="394" t="str">
        <f t="shared" si="116"/>
        <v/>
      </c>
    </row>
    <row r="1604" spans="8:11" x14ac:dyDescent="0.25">
      <c r="H1604" s="394" t="str">
        <f t="shared" si="113"/>
        <v/>
      </c>
      <c r="I1604" s="394" t="str">
        <f t="shared" si="114"/>
        <v/>
      </c>
      <c r="J1604" s="394" t="str">
        <f t="shared" si="115"/>
        <v/>
      </c>
      <c r="K1604" s="394" t="str">
        <f t="shared" si="116"/>
        <v/>
      </c>
    </row>
    <row r="1605" spans="8:11" x14ac:dyDescent="0.25">
      <c r="H1605" s="394" t="str">
        <f t="shared" si="113"/>
        <v/>
      </c>
      <c r="I1605" s="394" t="str">
        <f t="shared" si="114"/>
        <v/>
      </c>
      <c r="J1605" s="394" t="str">
        <f t="shared" si="115"/>
        <v/>
      </c>
      <c r="K1605" s="394" t="str">
        <f t="shared" si="116"/>
        <v/>
      </c>
    </row>
    <row r="1606" spans="8:11" x14ac:dyDescent="0.25">
      <c r="H1606" s="394" t="str">
        <f t="shared" si="113"/>
        <v/>
      </c>
      <c r="I1606" s="394" t="str">
        <f t="shared" si="114"/>
        <v/>
      </c>
      <c r="J1606" s="394" t="str">
        <f t="shared" si="115"/>
        <v/>
      </c>
      <c r="K1606" s="394" t="str">
        <f t="shared" si="116"/>
        <v/>
      </c>
    </row>
    <row r="1607" spans="8:11" x14ac:dyDescent="0.25">
      <c r="H1607" s="394" t="str">
        <f t="shared" si="113"/>
        <v/>
      </c>
      <c r="I1607" s="394" t="str">
        <f t="shared" si="114"/>
        <v/>
      </c>
      <c r="J1607" s="394" t="str">
        <f t="shared" si="115"/>
        <v/>
      </c>
      <c r="K1607" s="394" t="str">
        <f t="shared" si="116"/>
        <v/>
      </c>
    </row>
    <row r="1608" spans="8:11" x14ac:dyDescent="0.25">
      <c r="H1608" s="394" t="str">
        <f t="shared" si="113"/>
        <v/>
      </c>
      <c r="I1608" s="394" t="str">
        <f t="shared" si="114"/>
        <v/>
      </c>
      <c r="J1608" s="394" t="str">
        <f t="shared" si="115"/>
        <v/>
      </c>
      <c r="K1608" s="394" t="str">
        <f t="shared" si="116"/>
        <v/>
      </c>
    </row>
    <row r="1609" spans="8:11" x14ac:dyDescent="0.25">
      <c r="H1609" s="394" t="str">
        <f t="shared" si="113"/>
        <v/>
      </c>
      <c r="I1609" s="394" t="str">
        <f t="shared" si="114"/>
        <v/>
      </c>
      <c r="J1609" s="394" t="str">
        <f t="shared" si="115"/>
        <v/>
      </c>
      <c r="K1609" s="394" t="str">
        <f t="shared" si="116"/>
        <v/>
      </c>
    </row>
    <row r="1610" spans="8:11" x14ac:dyDescent="0.25">
      <c r="H1610" s="394" t="str">
        <f t="shared" si="113"/>
        <v/>
      </c>
      <c r="I1610" s="394" t="str">
        <f t="shared" si="114"/>
        <v/>
      </c>
      <c r="J1610" s="394" t="str">
        <f t="shared" si="115"/>
        <v/>
      </c>
      <c r="K1610" s="394" t="str">
        <f t="shared" si="116"/>
        <v/>
      </c>
    </row>
    <row r="1611" spans="8:11" x14ac:dyDescent="0.25">
      <c r="H1611" s="394" t="str">
        <f t="shared" si="113"/>
        <v/>
      </c>
      <c r="I1611" s="394" t="str">
        <f t="shared" si="114"/>
        <v/>
      </c>
      <c r="J1611" s="394" t="str">
        <f t="shared" si="115"/>
        <v/>
      </c>
      <c r="K1611" s="394" t="str">
        <f t="shared" si="116"/>
        <v/>
      </c>
    </row>
    <row r="1612" spans="8:11" x14ac:dyDescent="0.25">
      <c r="H1612" s="394" t="str">
        <f t="shared" si="113"/>
        <v/>
      </c>
      <c r="I1612" s="394" t="str">
        <f t="shared" si="114"/>
        <v/>
      </c>
      <c r="J1612" s="394" t="str">
        <f t="shared" si="115"/>
        <v/>
      </c>
      <c r="K1612" s="394" t="str">
        <f t="shared" si="116"/>
        <v/>
      </c>
    </row>
    <row r="1613" spans="8:11" x14ac:dyDescent="0.25">
      <c r="H1613" s="394" t="str">
        <f t="shared" si="113"/>
        <v/>
      </c>
      <c r="I1613" s="394" t="str">
        <f t="shared" si="114"/>
        <v/>
      </c>
      <c r="J1613" s="394" t="str">
        <f t="shared" si="115"/>
        <v/>
      </c>
      <c r="K1613" s="394" t="str">
        <f t="shared" si="116"/>
        <v/>
      </c>
    </row>
    <row r="1614" spans="8:11" x14ac:dyDescent="0.25">
      <c r="H1614" s="394" t="str">
        <f t="shared" si="113"/>
        <v/>
      </c>
      <c r="I1614" s="394" t="str">
        <f t="shared" si="114"/>
        <v/>
      </c>
      <c r="J1614" s="394" t="str">
        <f t="shared" si="115"/>
        <v/>
      </c>
      <c r="K1614" s="394" t="str">
        <f t="shared" si="116"/>
        <v/>
      </c>
    </row>
    <row r="1615" spans="8:11" x14ac:dyDescent="0.25">
      <c r="H1615" s="394" t="str">
        <f t="shared" si="113"/>
        <v/>
      </c>
      <c r="I1615" s="394" t="str">
        <f t="shared" si="114"/>
        <v/>
      </c>
      <c r="J1615" s="394" t="str">
        <f t="shared" si="115"/>
        <v/>
      </c>
      <c r="K1615" s="394" t="str">
        <f t="shared" si="116"/>
        <v/>
      </c>
    </row>
    <row r="1616" spans="8:11" x14ac:dyDescent="0.25">
      <c r="H1616" s="394" t="str">
        <f t="shared" si="113"/>
        <v/>
      </c>
      <c r="I1616" s="394" t="str">
        <f t="shared" si="114"/>
        <v/>
      </c>
      <c r="J1616" s="394" t="str">
        <f t="shared" si="115"/>
        <v/>
      </c>
      <c r="K1616" s="394" t="str">
        <f t="shared" si="116"/>
        <v/>
      </c>
    </row>
    <row r="1617" spans="8:11" x14ac:dyDescent="0.25">
      <c r="H1617" s="394" t="str">
        <f t="shared" si="113"/>
        <v/>
      </c>
      <c r="I1617" s="394" t="str">
        <f t="shared" si="114"/>
        <v/>
      </c>
      <c r="J1617" s="394" t="str">
        <f t="shared" si="115"/>
        <v/>
      </c>
      <c r="K1617" s="394" t="str">
        <f t="shared" si="116"/>
        <v/>
      </c>
    </row>
    <row r="1618" spans="8:11" x14ac:dyDescent="0.25">
      <c r="H1618" s="394" t="str">
        <f t="shared" si="113"/>
        <v/>
      </c>
      <c r="I1618" s="394" t="str">
        <f t="shared" si="114"/>
        <v/>
      </c>
      <c r="J1618" s="394" t="str">
        <f t="shared" si="115"/>
        <v/>
      </c>
      <c r="K1618" s="394" t="str">
        <f t="shared" si="116"/>
        <v/>
      </c>
    </row>
    <row r="1619" spans="8:11" x14ac:dyDescent="0.25">
      <c r="H1619" s="394" t="str">
        <f t="shared" si="113"/>
        <v/>
      </c>
      <c r="I1619" s="394" t="str">
        <f t="shared" si="114"/>
        <v/>
      </c>
      <c r="J1619" s="394" t="str">
        <f t="shared" si="115"/>
        <v/>
      </c>
      <c r="K1619" s="394" t="str">
        <f t="shared" si="116"/>
        <v/>
      </c>
    </row>
    <row r="1620" spans="8:11" x14ac:dyDescent="0.25">
      <c r="H1620" s="394" t="str">
        <f t="shared" si="113"/>
        <v/>
      </c>
      <c r="I1620" s="394" t="str">
        <f t="shared" si="114"/>
        <v/>
      </c>
      <c r="J1620" s="394" t="str">
        <f t="shared" si="115"/>
        <v/>
      </c>
      <c r="K1620" s="394" t="str">
        <f t="shared" si="116"/>
        <v/>
      </c>
    </row>
    <row r="1621" spans="8:11" x14ac:dyDescent="0.25">
      <c r="H1621" s="394" t="str">
        <f t="shared" si="113"/>
        <v/>
      </c>
      <c r="I1621" s="394" t="str">
        <f t="shared" si="114"/>
        <v/>
      </c>
      <c r="J1621" s="394" t="str">
        <f t="shared" si="115"/>
        <v/>
      </c>
      <c r="K1621" s="394" t="str">
        <f t="shared" si="116"/>
        <v/>
      </c>
    </row>
    <row r="1622" spans="8:11" x14ac:dyDescent="0.25">
      <c r="H1622" s="394" t="str">
        <f t="shared" si="113"/>
        <v/>
      </c>
      <c r="I1622" s="394" t="str">
        <f t="shared" si="114"/>
        <v/>
      </c>
      <c r="J1622" s="394" t="str">
        <f t="shared" si="115"/>
        <v/>
      </c>
      <c r="K1622" s="394" t="str">
        <f t="shared" si="116"/>
        <v/>
      </c>
    </row>
    <row r="1623" spans="8:11" x14ac:dyDescent="0.25">
      <c r="H1623" s="394" t="str">
        <f t="shared" si="113"/>
        <v/>
      </c>
      <c r="I1623" s="394" t="str">
        <f t="shared" si="114"/>
        <v/>
      </c>
      <c r="J1623" s="394" t="str">
        <f t="shared" si="115"/>
        <v/>
      </c>
      <c r="K1623" s="394" t="str">
        <f t="shared" si="116"/>
        <v/>
      </c>
    </row>
    <row r="1624" spans="8:11" x14ac:dyDescent="0.25">
      <c r="H1624" s="394" t="str">
        <f t="shared" si="113"/>
        <v/>
      </c>
      <c r="I1624" s="394" t="str">
        <f t="shared" si="114"/>
        <v/>
      </c>
      <c r="J1624" s="394" t="str">
        <f t="shared" si="115"/>
        <v/>
      </c>
      <c r="K1624" s="394" t="str">
        <f t="shared" si="116"/>
        <v/>
      </c>
    </row>
    <row r="1625" spans="8:11" x14ac:dyDescent="0.25">
      <c r="H1625" s="394" t="str">
        <f t="shared" si="113"/>
        <v/>
      </c>
      <c r="I1625" s="394" t="str">
        <f t="shared" si="114"/>
        <v/>
      </c>
      <c r="J1625" s="394" t="str">
        <f t="shared" si="115"/>
        <v/>
      </c>
      <c r="K1625" s="394" t="str">
        <f t="shared" si="116"/>
        <v/>
      </c>
    </row>
    <row r="1626" spans="8:11" x14ac:dyDescent="0.25">
      <c r="H1626" s="394" t="str">
        <f t="shared" si="113"/>
        <v/>
      </c>
      <c r="I1626" s="394" t="str">
        <f t="shared" si="114"/>
        <v/>
      </c>
      <c r="J1626" s="394" t="str">
        <f t="shared" si="115"/>
        <v/>
      </c>
      <c r="K1626" s="394" t="str">
        <f t="shared" si="116"/>
        <v/>
      </c>
    </row>
    <row r="1627" spans="8:11" x14ac:dyDescent="0.25">
      <c r="H1627" s="394" t="str">
        <f t="shared" si="113"/>
        <v/>
      </c>
      <c r="I1627" s="394" t="str">
        <f t="shared" si="114"/>
        <v/>
      </c>
      <c r="J1627" s="394" t="str">
        <f t="shared" si="115"/>
        <v/>
      </c>
      <c r="K1627" s="394" t="str">
        <f t="shared" si="116"/>
        <v/>
      </c>
    </row>
    <row r="1628" spans="8:11" x14ac:dyDescent="0.25">
      <c r="H1628" s="394" t="str">
        <f t="shared" si="113"/>
        <v/>
      </c>
      <c r="I1628" s="394" t="str">
        <f t="shared" si="114"/>
        <v/>
      </c>
      <c r="J1628" s="394" t="str">
        <f t="shared" si="115"/>
        <v/>
      </c>
      <c r="K1628" s="394" t="str">
        <f t="shared" si="116"/>
        <v/>
      </c>
    </row>
    <row r="1629" spans="8:11" x14ac:dyDescent="0.25">
      <c r="H1629" s="394" t="str">
        <f t="shared" si="113"/>
        <v/>
      </c>
      <c r="I1629" s="394" t="str">
        <f t="shared" si="114"/>
        <v/>
      </c>
      <c r="J1629" s="394" t="str">
        <f t="shared" si="115"/>
        <v/>
      </c>
      <c r="K1629" s="394" t="str">
        <f t="shared" si="116"/>
        <v/>
      </c>
    </row>
    <row r="1630" spans="8:11" x14ac:dyDescent="0.25">
      <c r="H1630" s="394" t="str">
        <f t="shared" si="113"/>
        <v/>
      </c>
      <c r="I1630" s="394" t="str">
        <f t="shared" si="114"/>
        <v/>
      </c>
      <c r="J1630" s="394" t="str">
        <f t="shared" si="115"/>
        <v/>
      </c>
      <c r="K1630" s="394" t="str">
        <f t="shared" si="116"/>
        <v/>
      </c>
    </row>
    <row r="1631" spans="8:11" x14ac:dyDescent="0.25">
      <c r="H1631" s="394" t="str">
        <f t="shared" si="113"/>
        <v/>
      </c>
      <c r="I1631" s="394" t="str">
        <f t="shared" si="114"/>
        <v/>
      </c>
      <c r="J1631" s="394" t="str">
        <f t="shared" si="115"/>
        <v/>
      </c>
      <c r="K1631" s="394" t="str">
        <f t="shared" si="116"/>
        <v/>
      </c>
    </row>
    <row r="1632" spans="8:11" x14ac:dyDescent="0.25">
      <c r="H1632" s="394" t="str">
        <f t="shared" si="113"/>
        <v/>
      </c>
      <c r="I1632" s="394" t="str">
        <f t="shared" si="114"/>
        <v/>
      </c>
      <c r="J1632" s="394" t="str">
        <f t="shared" si="115"/>
        <v/>
      </c>
      <c r="K1632" s="394" t="str">
        <f t="shared" si="116"/>
        <v/>
      </c>
    </row>
    <row r="1633" spans="8:11" x14ac:dyDescent="0.25">
      <c r="H1633" s="394" t="str">
        <f t="shared" si="113"/>
        <v/>
      </c>
      <c r="I1633" s="394" t="str">
        <f t="shared" si="114"/>
        <v/>
      </c>
      <c r="J1633" s="394" t="str">
        <f t="shared" si="115"/>
        <v/>
      </c>
      <c r="K1633" s="394" t="str">
        <f t="shared" si="116"/>
        <v/>
      </c>
    </row>
    <row r="1634" spans="8:11" x14ac:dyDescent="0.25">
      <c r="H1634" s="394" t="str">
        <f t="shared" si="113"/>
        <v/>
      </c>
      <c r="I1634" s="394" t="str">
        <f t="shared" si="114"/>
        <v/>
      </c>
      <c r="J1634" s="394" t="str">
        <f t="shared" si="115"/>
        <v/>
      </c>
      <c r="K1634" s="394" t="str">
        <f t="shared" si="116"/>
        <v/>
      </c>
    </row>
    <row r="1635" spans="8:11" x14ac:dyDescent="0.25">
      <c r="H1635" s="394" t="str">
        <f t="shared" si="113"/>
        <v/>
      </c>
      <c r="I1635" s="394" t="str">
        <f t="shared" si="114"/>
        <v/>
      </c>
      <c r="J1635" s="394" t="str">
        <f t="shared" si="115"/>
        <v/>
      </c>
      <c r="K1635" s="394" t="str">
        <f t="shared" si="116"/>
        <v/>
      </c>
    </row>
    <row r="1636" spans="8:11" x14ac:dyDescent="0.25">
      <c r="H1636" s="394" t="str">
        <f t="shared" si="113"/>
        <v/>
      </c>
      <c r="I1636" s="394" t="str">
        <f t="shared" si="114"/>
        <v/>
      </c>
      <c r="J1636" s="394" t="str">
        <f t="shared" si="115"/>
        <v/>
      </c>
      <c r="K1636" s="394" t="str">
        <f t="shared" si="116"/>
        <v/>
      </c>
    </row>
    <row r="1637" spans="8:11" x14ac:dyDescent="0.25">
      <c r="H1637" s="394" t="str">
        <f t="shared" si="113"/>
        <v/>
      </c>
      <c r="I1637" s="394" t="str">
        <f t="shared" si="114"/>
        <v/>
      </c>
      <c r="J1637" s="394" t="str">
        <f t="shared" si="115"/>
        <v/>
      </c>
      <c r="K1637" s="394" t="str">
        <f t="shared" si="116"/>
        <v/>
      </c>
    </row>
    <row r="1638" spans="8:11" x14ac:dyDescent="0.25">
      <c r="H1638" s="394" t="str">
        <f t="shared" si="113"/>
        <v/>
      </c>
      <c r="I1638" s="394" t="str">
        <f t="shared" si="114"/>
        <v/>
      </c>
      <c r="J1638" s="394" t="str">
        <f t="shared" si="115"/>
        <v/>
      </c>
      <c r="K1638" s="394" t="str">
        <f t="shared" si="116"/>
        <v/>
      </c>
    </row>
    <row r="1639" spans="8:11" x14ac:dyDescent="0.25">
      <c r="H1639" s="394" t="str">
        <f t="shared" si="113"/>
        <v/>
      </c>
      <c r="I1639" s="394" t="str">
        <f t="shared" si="114"/>
        <v/>
      </c>
      <c r="J1639" s="394" t="str">
        <f t="shared" si="115"/>
        <v/>
      </c>
      <c r="K1639" s="394" t="str">
        <f t="shared" si="116"/>
        <v/>
      </c>
    </row>
    <row r="1640" spans="8:11" x14ac:dyDescent="0.25">
      <c r="H1640" s="394" t="str">
        <f t="shared" si="113"/>
        <v/>
      </c>
      <c r="I1640" s="394" t="str">
        <f t="shared" si="114"/>
        <v/>
      </c>
      <c r="J1640" s="394" t="str">
        <f t="shared" si="115"/>
        <v/>
      </c>
      <c r="K1640" s="394" t="str">
        <f t="shared" si="116"/>
        <v/>
      </c>
    </row>
    <row r="1641" spans="8:11" x14ac:dyDescent="0.25">
      <c r="H1641" s="394" t="str">
        <f t="shared" ref="H1641:H1704" si="117">IF($C663="","",ROUND(($B$2*$F663*($B$5/1000))/$B$6,2))</f>
        <v/>
      </c>
      <c r="I1641" s="394" t="str">
        <f t="shared" ref="I1641:I1704" si="118">IF($C663="","",ROUND(($B$3*$F663*($B$5/1000))/$B$6,2))</f>
        <v/>
      </c>
      <c r="J1641" s="394" t="str">
        <f t="shared" ref="J1641:J1704" si="119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20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7"/>
        <v/>
      </c>
      <c r="I1642" s="394" t="str">
        <f t="shared" si="118"/>
        <v/>
      </c>
      <c r="J1642" s="394" t="str">
        <f t="shared" si="119"/>
        <v/>
      </c>
      <c r="K1642" s="394" t="str">
        <f t="shared" si="120"/>
        <v/>
      </c>
    </row>
    <row r="1643" spans="8:11" x14ac:dyDescent="0.25">
      <c r="H1643" s="394" t="str">
        <f t="shared" si="117"/>
        <v/>
      </c>
      <c r="I1643" s="394" t="str">
        <f t="shared" si="118"/>
        <v/>
      </c>
      <c r="J1643" s="394" t="str">
        <f t="shared" si="119"/>
        <v/>
      </c>
      <c r="K1643" s="394" t="str">
        <f t="shared" si="120"/>
        <v/>
      </c>
    </row>
    <row r="1644" spans="8:11" x14ac:dyDescent="0.25">
      <c r="H1644" s="394" t="str">
        <f t="shared" si="117"/>
        <v/>
      </c>
      <c r="I1644" s="394" t="str">
        <f t="shared" si="118"/>
        <v/>
      </c>
      <c r="J1644" s="394" t="str">
        <f t="shared" si="119"/>
        <v/>
      </c>
      <c r="K1644" s="394" t="str">
        <f t="shared" si="120"/>
        <v/>
      </c>
    </row>
    <row r="1645" spans="8:11" x14ac:dyDescent="0.25">
      <c r="H1645" s="394" t="str">
        <f t="shared" si="117"/>
        <v/>
      </c>
      <c r="I1645" s="394" t="str">
        <f t="shared" si="118"/>
        <v/>
      </c>
      <c r="J1645" s="394" t="str">
        <f t="shared" si="119"/>
        <v/>
      </c>
      <c r="K1645" s="394" t="str">
        <f t="shared" si="120"/>
        <v/>
      </c>
    </row>
    <row r="1646" spans="8:11" x14ac:dyDescent="0.25">
      <c r="H1646" s="394" t="str">
        <f t="shared" si="117"/>
        <v/>
      </c>
      <c r="I1646" s="394" t="str">
        <f t="shared" si="118"/>
        <v/>
      </c>
      <c r="J1646" s="394" t="str">
        <f t="shared" si="119"/>
        <v/>
      </c>
      <c r="K1646" s="394" t="str">
        <f t="shared" si="120"/>
        <v/>
      </c>
    </row>
    <row r="1647" spans="8:11" x14ac:dyDescent="0.25">
      <c r="H1647" s="394" t="str">
        <f t="shared" si="117"/>
        <v/>
      </c>
      <c r="I1647" s="394" t="str">
        <f t="shared" si="118"/>
        <v/>
      </c>
      <c r="J1647" s="394" t="str">
        <f t="shared" si="119"/>
        <v/>
      </c>
      <c r="K1647" s="394" t="str">
        <f t="shared" si="120"/>
        <v/>
      </c>
    </row>
    <row r="1648" spans="8:11" x14ac:dyDescent="0.25">
      <c r="H1648" s="394" t="str">
        <f t="shared" si="117"/>
        <v/>
      </c>
      <c r="I1648" s="394" t="str">
        <f t="shared" si="118"/>
        <v/>
      </c>
      <c r="J1648" s="394" t="str">
        <f t="shared" si="119"/>
        <v/>
      </c>
      <c r="K1648" s="394" t="str">
        <f t="shared" si="120"/>
        <v/>
      </c>
    </row>
    <row r="1649" spans="8:11" x14ac:dyDescent="0.25">
      <c r="H1649" s="394" t="str">
        <f t="shared" si="117"/>
        <v/>
      </c>
      <c r="I1649" s="394" t="str">
        <f t="shared" si="118"/>
        <v/>
      </c>
      <c r="J1649" s="394" t="str">
        <f t="shared" si="119"/>
        <v/>
      </c>
      <c r="K1649" s="394" t="str">
        <f t="shared" si="120"/>
        <v/>
      </c>
    </row>
    <row r="1650" spans="8:11" x14ac:dyDescent="0.25">
      <c r="H1650" s="394" t="str">
        <f t="shared" si="117"/>
        <v/>
      </c>
      <c r="I1650" s="394" t="str">
        <f t="shared" si="118"/>
        <v/>
      </c>
      <c r="J1650" s="394" t="str">
        <f t="shared" si="119"/>
        <v/>
      </c>
      <c r="K1650" s="394" t="str">
        <f t="shared" si="120"/>
        <v/>
      </c>
    </row>
    <row r="1651" spans="8:11" x14ac:dyDescent="0.25">
      <c r="H1651" s="394" t="str">
        <f t="shared" si="117"/>
        <v/>
      </c>
      <c r="I1651" s="394" t="str">
        <f t="shared" si="118"/>
        <v/>
      </c>
      <c r="J1651" s="394" t="str">
        <f t="shared" si="119"/>
        <v/>
      </c>
      <c r="K1651" s="394" t="str">
        <f t="shared" si="120"/>
        <v/>
      </c>
    </row>
    <row r="1652" spans="8:11" x14ac:dyDescent="0.25">
      <c r="H1652" s="394" t="str">
        <f t="shared" si="117"/>
        <v/>
      </c>
      <c r="I1652" s="394" t="str">
        <f t="shared" si="118"/>
        <v/>
      </c>
      <c r="J1652" s="394" t="str">
        <f t="shared" si="119"/>
        <v/>
      </c>
      <c r="K1652" s="394" t="str">
        <f t="shared" si="120"/>
        <v/>
      </c>
    </row>
    <row r="1653" spans="8:11" x14ac:dyDescent="0.25">
      <c r="H1653" s="394" t="str">
        <f t="shared" si="117"/>
        <v/>
      </c>
      <c r="I1653" s="394" t="str">
        <f t="shared" si="118"/>
        <v/>
      </c>
      <c r="J1653" s="394" t="str">
        <f t="shared" si="119"/>
        <v/>
      </c>
      <c r="K1653" s="394" t="str">
        <f t="shared" si="120"/>
        <v/>
      </c>
    </row>
    <row r="1654" spans="8:11" x14ac:dyDescent="0.25">
      <c r="H1654" s="394" t="str">
        <f t="shared" si="117"/>
        <v/>
      </c>
      <c r="I1654" s="394" t="str">
        <f t="shared" si="118"/>
        <v/>
      </c>
      <c r="J1654" s="394" t="str">
        <f t="shared" si="119"/>
        <v/>
      </c>
      <c r="K1654" s="394" t="str">
        <f t="shared" si="120"/>
        <v/>
      </c>
    </row>
    <row r="1655" spans="8:11" x14ac:dyDescent="0.25">
      <c r="H1655" s="394" t="str">
        <f t="shared" si="117"/>
        <v/>
      </c>
      <c r="I1655" s="394" t="str">
        <f t="shared" si="118"/>
        <v/>
      </c>
      <c r="J1655" s="394" t="str">
        <f t="shared" si="119"/>
        <v/>
      </c>
      <c r="K1655" s="394" t="str">
        <f t="shared" si="120"/>
        <v/>
      </c>
    </row>
    <row r="1656" spans="8:11" x14ac:dyDescent="0.25">
      <c r="H1656" s="394" t="str">
        <f t="shared" si="117"/>
        <v/>
      </c>
      <c r="I1656" s="394" t="str">
        <f t="shared" si="118"/>
        <v/>
      </c>
      <c r="J1656" s="394" t="str">
        <f t="shared" si="119"/>
        <v/>
      </c>
      <c r="K1656" s="394" t="str">
        <f t="shared" si="120"/>
        <v/>
      </c>
    </row>
    <row r="1657" spans="8:11" x14ac:dyDescent="0.25">
      <c r="H1657" s="394" t="str">
        <f t="shared" si="117"/>
        <v/>
      </c>
      <c r="I1657" s="394" t="str">
        <f t="shared" si="118"/>
        <v/>
      </c>
      <c r="J1657" s="394" t="str">
        <f t="shared" si="119"/>
        <v/>
      </c>
      <c r="K1657" s="394" t="str">
        <f t="shared" si="120"/>
        <v/>
      </c>
    </row>
    <row r="1658" spans="8:11" x14ac:dyDescent="0.25">
      <c r="H1658" s="394" t="str">
        <f t="shared" si="117"/>
        <v/>
      </c>
      <c r="I1658" s="394" t="str">
        <f t="shared" si="118"/>
        <v/>
      </c>
      <c r="J1658" s="394" t="str">
        <f t="shared" si="119"/>
        <v/>
      </c>
      <c r="K1658" s="394" t="str">
        <f t="shared" si="120"/>
        <v/>
      </c>
    </row>
    <row r="1659" spans="8:11" x14ac:dyDescent="0.25">
      <c r="H1659" s="394" t="str">
        <f t="shared" si="117"/>
        <v/>
      </c>
      <c r="I1659" s="394" t="str">
        <f t="shared" si="118"/>
        <v/>
      </c>
      <c r="J1659" s="394" t="str">
        <f t="shared" si="119"/>
        <v/>
      </c>
      <c r="K1659" s="394" t="str">
        <f t="shared" si="120"/>
        <v/>
      </c>
    </row>
    <row r="1660" spans="8:11" x14ac:dyDescent="0.25">
      <c r="H1660" s="394" t="str">
        <f t="shared" si="117"/>
        <v/>
      </c>
      <c r="I1660" s="394" t="str">
        <f t="shared" si="118"/>
        <v/>
      </c>
      <c r="J1660" s="394" t="str">
        <f t="shared" si="119"/>
        <v/>
      </c>
      <c r="K1660" s="394" t="str">
        <f t="shared" si="120"/>
        <v/>
      </c>
    </row>
    <row r="1661" spans="8:11" x14ac:dyDescent="0.25">
      <c r="H1661" s="394" t="str">
        <f t="shared" si="117"/>
        <v/>
      </c>
      <c r="I1661" s="394" t="str">
        <f t="shared" si="118"/>
        <v/>
      </c>
      <c r="J1661" s="394" t="str">
        <f t="shared" si="119"/>
        <v/>
      </c>
      <c r="K1661" s="394" t="str">
        <f t="shared" si="120"/>
        <v/>
      </c>
    </row>
    <row r="1662" spans="8:11" x14ac:dyDescent="0.25">
      <c r="H1662" s="394" t="str">
        <f t="shared" si="117"/>
        <v/>
      </c>
      <c r="I1662" s="394" t="str">
        <f t="shared" si="118"/>
        <v/>
      </c>
      <c r="J1662" s="394" t="str">
        <f t="shared" si="119"/>
        <v/>
      </c>
      <c r="K1662" s="394" t="str">
        <f t="shared" si="120"/>
        <v/>
      </c>
    </row>
    <row r="1663" spans="8:11" x14ac:dyDescent="0.25">
      <c r="H1663" s="394" t="str">
        <f t="shared" si="117"/>
        <v/>
      </c>
      <c r="I1663" s="394" t="str">
        <f t="shared" si="118"/>
        <v/>
      </c>
      <c r="J1663" s="394" t="str">
        <f t="shared" si="119"/>
        <v/>
      </c>
      <c r="K1663" s="394" t="str">
        <f t="shared" si="120"/>
        <v/>
      </c>
    </row>
    <row r="1664" spans="8:11" x14ac:dyDescent="0.25">
      <c r="H1664" s="394" t="str">
        <f t="shared" si="117"/>
        <v/>
      </c>
      <c r="I1664" s="394" t="str">
        <f t="shared" si="118"/>
        <v/>
      </c>
      <c r="J1664" s="394" t="str">
        <f t="shared" si="119"/>
        <v/>
      </c>
      <c r="K1664" s="394" t="str">
        <f t="shared" si="120"/>
        <v/>
      </c>
    </row>
    <row r="1665" spans="8:11" x14ac:dyDescent="0.25">
      <c r="H1665" s="394" t="str">
        <f t="shared" si="117"/>
        <v/>
      </c>
      <c r="I1665" s="394" t="str">
        <f t="shared" si="118"/>
        <v/>
      </c>
      <c r="J1665" s="394" t="str">
        <f t="shared" si="119"/>
        <v/>
      </c>
      <c r="K1665" s="394" t="str">
        <f t="shared" si="120"/>
        <v/>
      </c>
    </row>
    <row r="1666" spans="8:11" x14ac:dyDescent="0.25">
      <c r="H1666" s="394" t="str">
        <f t="shared" si="117"/>
        <v/>
      </c>
      <c r="I1666" s="394" t="str">
        <f t="shared" si="118"/>
        <v/>
      </c>
      <c r="J1666" s="394" t="str">
        <f t="shared" si="119"/>
        <v/>
      </c>
      <c r="K1666" s="394" t="str">
        <f t="shared" si="120"/>
        <v/>
      </c>
    </row>
    <row r="1667" spans="8:11" x14ac:dyDescent="0.25">
      <c r="H1667" s="394" t="str">
        <f t="shared" si="117"/>
        <v/>
      </c>
      <c r="I1667" s="394" t="str">
        <f t="shared" si="118"/>
        <v/>
      </c>
      <c r="J1667" s="394" t="str">
        <f t="shared" si="119"/>
        <v/>
      </c>
      <c r="K1667" s="394" t="str">
        <f t="shared" si="120"/>
        <v/>
      </c>
    </row>
    <row r="1668" spans="8:11" x14ac:dyDescent="0.25">
      <c r="H1668" s="394" t="str">
        <f t="shared" si="117"/>
        <v/>
      </c>
      <c r="I1668" s="394" t="str">
        <f t="shared" si="118"/>
        <v/>
      </c>
      <c r="J1668" s="394" t="str">
        <f t="shared" si="119"/>
        <v/>
      </c>
      <c r="K1668" s="394" t="str">
        <f t="shared" si="120"/>
        <v/>
      </c>
    </row>
    <row r="1669" spans="8:11" x14ac:dyDescent="0.25">
      <c r="H1669" s="394" t="str">
        <f t="shared" si="117"/>
        <v/>
      </c>
      <c r="I1669" s="394" t="str">
        <f t="shared" si="118"/>
        <v/>
      </c>
      <c r="J1669" s="394" t="str">
        <f t="shared" si="119"/>
        <v/>
      </c>
      <c r="K1669" s="394" t="str">
        <f t="shared" si="120"/>
        <v/>
      </c>
    </row>
    <row r="1670" spans="8:11" x14ac:dyDescent="0.25">
      <c r="H1670" s="394" t="str">
        <f t="shared" si="117"/>
        <v/>
      </c>
      <c r="I1670" s="394" t="str">
        <f t="shared" si="118"/>
        <v/>
      </c>
      <c r="J1670" s="394" t="str">
        <f t="shared" si="119"/>
        <v/>
      </c>
      <c r="K1670" s="394" t="str">
        <f t="shared" si="120"/>
        <v/>
      </c>
    </row>
    <row r="1671" spans="8:11" x14ac:dyDescent="0.25">
      <c r="H1671" s="394" t="str">
        <f t="shared" si="117"/>
        <v/>
      </c>
      <c r="I1671" s="394" t="str">
        <f t="shared" si="118"/>
        <v/>
      </c>
      <c r="J1671" s="394" t="str">
        <f t="shared" si="119"/>
        <v/>
      </c>
      <c r="K1671" s="394" t="str">
        <f t="shared" si="120"/>
        <v/>
      </c>
    </row>
    <row r="1672" spans="8:11" x14ac:dyDescent="0.25">
      <c r="H1672" s="394" t="str">
        <f t="shared" si="117"/>
        <v/>
      </c>
      <c r="I1672" s="394" t="str">
        <f t="shared" si="118"/>
        <v/>
      </c>
      <c r="J1672" s="394" t="str">
        <f t="shared" si="119"/>
        <v/>
      </c>
      <c r="K1672" s="394" t="str">
        <f t="shared" si="120"/>
        <v/>
      </c>
    </row>
    <row r="1673" spans="8:11" x14ac:dyDescent="0.25">
      <c r="H1673" s="394" t="str">
        <f t="shared" si="117"/>
        <v/>
      </c>
      <c r="I1673" s="394" t="str">
        <f t="shared" si="118"/>
        <v/>
      </c>
      <c r="J1673" s="394" t="str">
        <f t="shared" si="119"/>
        <v/>
      </c>
      <c r="K1673" s="394" t="str">
        <f t="shared" si="120"/>
        <v/>
      </c>
    </row>
    <row r="1674" spans="8:11" x14ac:dyDescent="0.25">
      <c r="H1674" s="394" t="str">
        <f t="shared" si="117"/>
        <v/>
      </c>
      <c r="I1674" s="394" t="str">
        <f t="shared" si="118"/>
        <v/>
      </c>
      <c r="J1674" s="394" t="str">
        <f t="shared" si="119"/>
        <v/>
      </c>
      <c r="K1674" s="394" t="str">
        <f t="shared" si="120"/>
        <v/>
      </c>
    </row>
    <row r="1675" spans="8:11" x14ac:dyDescent="0.25">
      <c r="H1675" s="394" t="str">
        <f t="shared" si="117"/>
        <v/>
      </c>
      <c r="I1675" s="394" t="str">
        <f t="shared" si="118"/>
        <v/>
      </c>
      <c r="J1675" s="394" t="str">
        <f t="shared" si="119"/>
        <v/>
      </c>
      <c r="K1675" s="394" t="str">
        <f t="shared" si="120"/>
        <v/>
      </c>
    </row>
    <row r="1676" spans="8:11" x14ac:dyDescent="0.25">
      <c r="H1676" s="394" t="str">
        <f t="shared" si="117"/>
        <v/>
      </c>
      <c r="I1676" s="394" t="str">
        <f t="shared" si="118"/>
        <v/>
      </c>
      <c r="J1676" s="394" t="str">
        <f t="shared" si="119"/>
        <v/>
      </c>
      <c r="K1676" s="394" t="str">
        <f t="shared" si="120"/>
        <v/>
      </c>
    </row>
    <row r="1677" spans="8:11" x14ac:dyDescent="0.25">
      <c r="H1677" s="394" t="str">
        <f t="shared" si="117"/>
        <v/>
      </c>
      <c r="I1677" s="394" t="str">
        <f t="shared" si="118"/>
        <v/>
      </c>
      <c r="J1677" s="394" t="str">
        <f t="shared" si="119"/>
        <v/>
      </c>
      <c r="K1677" s="394" t="str">
        <f t="shared" si="120"/>
        <v/>
      </c>
    </row>
    <row r="1678" spans="8:11" x14ac:dyDescent="0.25">
      <c r="H1678" s="394" t="str">
        <f t="shared" si="117"/>
        <v/>
      </c>
      <c r="I1678" s="394" t="str">
        <f t="shared" si="118"/>
        <v/>
      </c>
      <c r="J1678" s="394" t="str">
        <f t="shared" si="119"/>
        <v/>
      </c>
      <c r="K1678" s="394" t="str">
        <f t="shared" si="120"/>
        <v/>
      </c>
    </row>
    <row r="1679" spans="8:11" x14ac:dyDescent="0.25">
      <c r="H1679" s="394" t="str">
        <f t="shared" si="117"/>
        <v/>
      </c>
      <c r="I1679" s="394" t="str">
        <f t="shared" si="118"/>
        <v/>
      </c>
      <c r="J1679" s="394" t="str">
        <f t="shared" si="119"/>
        <v/>
      </c>
      <c r="K1679" s="394" t="str">
        <f t="shared" si="120"/>
        <v/>
      </c>
    </row>
    <row r="1680" spans="8:11" x14ac:dyDescent="0.25">
      <c r="H1680" s="394" t="str">
        <f t="shared" si="117"/>
        <v/>
      </c>
      <c r="I1680" s="394" t="str">
        <f t="shared" si="118"/>
        <v/>
      </c>
      <c r="J1680" s="394" t="str">
        <f t="shared" si="119"/>
        <v/>
      </c>
      <c r="K1680" s="394" t="str">
        <f t="shared" si="120"/>
        <v/>
      </c>
    </row>
    <row r="1681" spans="8:11" x14ac:dyDescent="0.25">
      <c r="H1681" s="394" t="str">
        <f t="shared" si="117"/>
        <v/>
      </c>
      <c r="I1681" s="394" t="str">
        <f t="shared" si="118"/>
        <v/>
      </c>
      <c r="J1681" s="394" t="str">
        <f t="shared" si="119"/>
        <v/>
      </c>
      <c r="K1681" s="394" t="str">
        <f t="shared" si="120"/>
        <v/>
      </c>
    </row>
    <row r="1682" spans="8:11" x14ac:dyDescent="0.25">
      <c r="H1682" s="394" t="str">
        <f t="shared" si="117"/>
        <v/>
      </c>
      <c r="I1682" s="394" t="str">
        <f t="shared" si="118"/>
        <v/>
      </c>
      <c r="J1682" s="394" t="str">
        <f t="shared" si="119"/>
        <v/>
      </c>
      <c r="K1682" s="394" t="str">
        <f t="shared" si="120"/>
        <v/>
      </c>
    </row>
    <row r="1683" spans="8:11" x14ac:dyDescent="0.25">
      <c r="H1683" s="394" t="str">
        <f t="shared" si="117"/>
        <v/>
      </c>
      <c r="I1683" s="394" t="str">
        <f t="shared" si="118"/>
        <v/>
      </c>
      <c r="J1683" s="394" t="str">
        <f t="shared" si="119"/>
        <v/>
      </c>
      <c r="K1683" s="394" t="str">
        <f t="shared" si="120"/>
        <v/>
      </c>
    </row>
    <row r="1684" spans="8:11" x14ac:dyDescent="0.25">
      <c r="H1684" s="394" t="str">
        <f t="shared" si="117"/>
        <v/>
      </c>
      <c r="I1684" s="394" t="str">
        <f t="shared" si="118"/>
        <v/>
      </c>
      <c r="J1684" s="394" t="str">
        <f t="shared" si="119"/>
        <v/>
      </c>
      <c r="K1684" s="394" t="str">
        <f t="shared" si="120"/>
        <v/>
      </c>
    </row>
    <row r="1685" spans="8:11" x14ac:dyDescent="0.25">
      <c r="H1685" s="394" t="str">
        <f t="shared" si="117"/>
        <v/>
      </c>
      <c r="I1685" s="394" t="str">
        <f t="shared" si="118"/>
        <v/>
      </c>
      <c r="J1685" s="394" t="str">
        <f t="shared" si="119"/>
        <v/>
      </c>
      <c r="K1685" s="394" t="str">
        <f t="shared" si="120"/>
        <v/>
      </c>
    </row>
    <row r="1686" spans="8:11" x14ac:dyDescent="0.25">
      <c r="H1686" s="394" t="str">
        <f t="shared" si="117"/>
        <v/>
      </c>
      <c r="I1686" s="394" t="str">
        <f t="shared" si="118"/>
        <v/>
      </c>
      <c r="J1686" s="394" t="str">
        <f t="shared" si="119"/>
        <v/>
      </c>
      <c r="K1686" s="394" t="str">
        <f t="shared" si="120"/>
        <v/>
      </c>
    </row>
    <row r="1687" spans="8:11" x14ac:dyDescent="0.25">
      <c r="H1687" s="394" t="str">
        <f t="shared" si="117"/>
        <v/>
      </c>
      <c r="I1687" s="394" t="str">
        <f t="shared" si="118"/>
        <v/>
      </c>
      <c r="J1687" s="394" t="str">
        <f t="shared" si="119"/>
        <v/>
      </c>
      <c r="K1687" s="394" t="str">
        <f t="shared" si="120"/>
        <v/>
      </c>
    </row>
    <row r="1688" spans="8:11" x14ac:dyDescent="0.25">
      <c r="H1688" s="394" t="str">
        <f t="shared" si="117"/>
        <v/>
      </c>
      <c r="I1688" s="394" t="str">
        <f t="shared" si="118"/>
        <v/>
      </c>
      <c r="J1688" s="394" t="str">
        <f t="shared" si="119"/>
        <v/>
      </c>
      <c r="K1688" s="394" t="str">
        <f t="shared" si="120"/>
        <v/>
      </c>
    </row>
    <row r="1689" spans="8:11" x14ac:dyDescent="0.25">
      <c r="H1689" s="394" t="str">
        <f t="shared" si="117"/>
        <v/>
      </c>
      <c r="I1689" s="394" t="str">
        <f t="shared" si="118"/>
        <v/>
      </c>
      <c r="J1689" s="394" t="str">
        <f t="shared" si="119"/>
        <v/>
      </c>
      <c r="K1689" s="394" t="str">
        <f t="shared" si="120"/>
        <v/>
      </c>
    </row>
    <row r="1690" spans="8:11" x14ac:dyDescent="0.25">
      <c r="H1690" s="394" t="str">
        <f t="shared" si="117"/>
        <v/>
      </c>
      <c r="I1690" s="394" t="str">
        <f t="shared" si="118"/>
        <v/>
      </c>
      <c r="J1690" s="394" t="str">
        <f t="shared" si="119"/>
        <v/>
      </c>
      <c r="K1690" s="394" t="str">
        <f t="shared" si="120"/>
        <v/>
      </c>
    </row>
    <row r="1691" spans="8:11" x14ac:dyDescent="0.25">
      <c r="H1691" s="394" t="str">
        <f t="shared" si="117"/>
        <v/>
      </c>
      <c r="I1691" s="394" t="str">
        <f t="shared" si="118"/>
        <v/>
      </c>
      <c r="J1691" s="394" t="str">
        <f t="shared" si="119"/>
        <v/>
      </c>
      <c r="K1691" s="394" t="str">
        <f t="shared" si="120"/>
        <v/>
      </c>
    </row>
    <row r="1692" spans="8:11" x14ac:dyDescent="0.25">
      <c r="H1692" s="394" t="str">
        <f t="shared" si="117"/>
        <v/>
      </c>
      <c r="I1692" s="394" t="str">
        <f t="shared" si="118"/>
        <v/>
      </c>
      <c r="J1692" s="394" t="str">
        <f t="shared" si="119"/>
        <v/>
      </c>
      <c r="K1692" s="394" t="str">
        <f t="shared" si="120"/>
        <v/>
      </c>
    </row>
    <row r="1693" spans="8:11" x14ac:dyDescent="0.25">
      <c r="H1693" s="394" t="str">
        <f t="shared" si="117"/>
        <v/>
      </c>
      <c r="I1693" s="394" t="str">
        <f t="shared" si="118"/>
        <v/>
      </c>
      <c r="J1693" s="394" t="str">
        <f t="shared" si="119"/>
        <v/>
      </c>
      <c r="K1693" s="394" t="str">
        <f t="shared" si="120"/>
        <v/>
      </c>
    </row>
    <row r="1694" spans="8:11" x14ac:dyDescent="0.25">
      <c r="H1694" s="394" t="str">
        <f t="shared" si="117"/>
        <v/>
      </c>
      <c r="I1694" s="394" t="str">
        <f t="shared" si="118"/>
        <v/>
      </c>
      <c r="J1694" s="394" t="str">
        <f t="shared" si="119"/>
        <v/>
      </c>
      <c r="K1694" s="394" t="str">
        <f t="shared" si="120"/>
        <v/>
      </c>
    </row>
    <row r="1695" spans="8:11" x14ac:dyDescent="0.25">
      <c r="H1695" s="394" t="str">
        <f t="shared" si="117"/>
        <v/>
      </c>
      <c r="I1695" s="394" t="str">
        <f t="shared" si="118"/>
        <v/>
      </c>
      <c r="J1695" s="394" t="str">
        <f t="shared" si="119"/>
        <v/>
      </c>
      <c r="K1695" s="394" t="str">
        <f t="shared" si="120"/>
        <v/>
      </c>
    </row>
    <row r="1696" spans="8:11" x14ac:dyDescent="0.25">
      <c r="H1696" s="394" t="str">
        <f t="shared" si="117"/>
        <v/>
      </c>
      <c r="I1696" s="394" t="str">
        <f t="shared" si="118"/>
        <v/>
      </c>
      <c r="J1696" s="394" t="str">
        <f t="shared" si="119"/>
        <v/>
      </c>
      <c r="K1696" s="394" t="str">
        <f t="shared" si="120"/>
        <v/>
      </c>
    </row>
    <row r="1697" spans="8:11" x14ac:dyDescent="0.25">
      <c r="H1697" s="394" t="str">
        <f t="shared" si="117"/>
        <v/>
      </c>
      <c r="I1697" s="394" t="str">
        <f t="shared" si="118"/>
        <v/>
      </c>
      <c r="J1697" s="394" t="str">
        <f t="shared" si="119"/>
        <v/>
      </c>
      <c r="K1697" s="394" t="str">
        <f t="shared" si="120"/>
        <v/>
      </c>
    </row>
    <row r="1698" spans="8:11" x14ac:dyDescent="0.25">
      <c r="H1698" s="394" t="str">
        <f t="shared" si="117"/>
        <v/>
      </c>
      <c r="I1698" s="394" t="str">
        <f t="shared" si="118"/>
        <v/>
      </c>
      <c r="J1698" s="394" t="str">
        <f t="shared" si="119"/>
        <v/>
      </c>
      <c r="K1698" s="394" t="str">
        <f t="shared" si="120"/>
        <v/>
      </c>
    </row>
    <row r="1699" spans="8:11" x14ac:dyDescent="0.25">
      <c r="H1699" s="394" t="str">
        <f t="shared" si="117"/>
        <v/>
      </c>
      <c r="I1699" s="394" t="str">
        <f t="shared" si="118"/>
        <v/>
      </c>
      <c r="J1699" s="394" t="str">
        <f t="shared" si="119"/>
        <v/>
      </c>
      <c r="K1699" s="394" t="str">
        <f t="shared" si="120"/>
        <v/>
      </c>
    </row>
    <row r="1700" spans="8:11" x14ac:dyDescent="0.25">
      <c r="H1700" s="394" t="str">
        <f t="shared" si="117"/>
        <v/>
      </c>
      <c r="I1700" s="394" t="str">
        <f t="shared" si="118"/>
        <v/>
      </c>
      <c r="J1700" s="394" t="str">
        <f t="shared" si="119"/>
        <v/>
      </c>
      <c r="K1700" s="394" t="str">
        <f t="shared" si="120"/>
        <v/>
      </c>
    </row>
    <row r="1701" spans="8:11" x14ac:dyDescent="0.25">
      <c r="H1701" s="394" t="str">
        <f t="shared" si="117"/>
        <v/>
      </c>
      <c r="I1701" s="394" t="str">
        <f t="shared" si="118"/>
        <v/>
      </c>
      <c r="J1701" s="394" t="str">
        <f t="shared" si="119"/>
        <v/>
      </c>
      <c r="K1701" s="394" t="str">
        <f t="shared" si="120"/>
        <v/>
      </c>
    </row>
    <row r="1702" spans="8:11" x14ac:dyDescent="0.25">
      <c r="H1702" s="394" t="str">
        <f t="shared" si="117"/>
        <v/>
      </c>
      <c r="I1702" s="394" t="str">
        <f t="shared" si="118"/>
        <v/>
      </c>
      <c r="J1702" s="394" t="str">
        <f t="shared" si="119"/>
        <v/>
      </c>
      <c r="K1702" s="394" t="str">
        <f t="shared" si="120"/>
        <v/>
      </c>
    </row>
    <row r="1703" spans="8:11" x14ac:dyDescent="0.25">
      <c r="H1703" s="394" t="str">
        <f t="shared" si="117"/>
        <v/>
      </c>
      <c r="I1703" s="394" t="str">
        <f t="shared" si="118"/>
        <v/>
      </c>
      <c r="J1703" s="394" t="str">
        <f t="shared" si="119"/>
        <v/>
      </c>
      <c r="K1703" s="394" t="str">
        <f t="shared" si="120"/>
        <v/>
      </c>
    </row>
    <row r="1704" spans="8:11" x14ac:dyDescent="0.25">
      <c r="H1704" s="394" t="str">
        <f t="shared" si="117"/>
        <v/>
      </c>
      <c r="I1704" s="394" t="str">
        <f t="shared" si="118"/>
        <v/>
      </c>
      <c r="J1704" s="394" t="str">
        <f t="shared" si="119"/>
        <v/>
      </c>
      <c r="K1704" s="394" t="str">
        <f t="shared" si="120"/>
        <v/>
      </c>
    </row>
    <row r="1705" spans="8:11" x14ac:dyDescent="0.25">
      <c r="H1705" s="394" t="str">
        <f t="shared" ref="H1705:H1768" si="121">IF($C727="","",ROUND(($B$2*$F727*($B$5/1000))/$B$6,2))</f>
        <v/>
      </c>
      <c r="I1705" s="394" t="str">
        <f t="shared" ref="I1705:I1768" si="122">IF($C727="","",ROUND(($B$3*$F727*($B$5/1000))/$B$6,2))</f>
        <v/>
      </c>
      <c r="J1705" s="394" t="str">
        <f t="shared" ref="J1705:J1768" si="123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4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21"/>
        <v/>
      </c>
      <c r="I1706" s="394" t="str">
        <f t="shared" si="122"/>
        <v/>
      </c>
      <c r="J1706" s="394" t="str">
        <f t="shared" si="123"/>
        <v/>
      </c>
      <c r="K1706" s="394" t="str">
        <f t="shared" si="124"/>
        <v/>
      </c>
    </row>
    <row r="1707" spans="8:11" x14ac:dyDescent="0.25">
      <c r="H1707" s="394" t="str">
        <f t="shared" si="121"/>
        <v/>
      </c>
      <c r="I1707" s="394" t="str">
        <f t="shared" si="122"/>
        <v/>
      </c>
      <c r="J1707" s="394" t="str">
        <f t="shared" si="123"/>
        <v/>
      </c>
      <c r="K1707" s="394" t="str">
        <f t="shared" si="124"/>
        <v/>
      </c>
    </row>
    <row r="1708" spans="8:11" x14ac:dyDescent="0.25">
      <c r="H1708" s="394" t="str">
        <f t="shared" si="121"/>
        <v/>
      </c>
      <c r="I1708" s="394" t="str">
        <f t="shared" si="122"/>
        <v/>
      </c>
      <c r="J1708" s="394" t="str">
        <f t="shared" si="123"/>
        <v/>
      </c>
      <c r="K1708" s="394" t="str">
        <f t="shared" si="124"/>
        <v/>
      </c>
    </row>
    <row r="1709" spans="8:11" x14ac:dyDescent="0.25">
      <c r="H1709" s="394" t="str">
        <f t="shared" si="121"/>
        <v/>
      </c>
      <c r="I1709" s="394" t="str">
        <f t="shared" si="122"/>
        <v/>
      </c>
      <c r="J1709" s="394" t="str">
        <f t="shared" si="123"/>
        <v/>
      </c>
      <c r="K1709" s="394" t="str">
        <f t="shared" si="124"/>
        <v/>
      </c>
    </row>
    <row r="1710" spans="8:11" x14ac:dyDescent="0.25">
      <c r="H1710" s="394" t="str">
        <f t="shared" si="121"/>
        <v/>
      </c>
      <c r="I1710" s="394" t="str">
        <f t="shared" si="122"/>
        <v/>
      </c>
      <c r="J1710" s="394" t="str">
        <f t="shared" si="123"/>
        <v/>
      </c>
      <c r="K1710" s="394" t="str">
        <f t="shared" si="124"/>
        <v/>
      </c>
    </row>
    <row r="1711" spans="8:11" x14ac:dyDescent="0.25">
      <c r="H1711" s="394" t="str">
        <f t="shared" si="121"/>
        <v/>
      </c>
      <c r="I1711" s="394" t="str">
        <f t="shared" si="122"/>
        <v/>
      </c>
      <c r="J1711" s="394" t="str">
        <f t="shared" si="123"/>
        <v/>
      </c>
      <c r="K1711" s="394" t="str">
        <f t="shared" si="124"/>
        <v/>
      </c>
    </row>
    <row r="1712" spans="8:11" x14ac:dyDescent="0.25">
      <c r="H1712" s="394" t="str">
        <f t="shared" si="121"/>
        <v/>
      </c>
      <c r="I1712" s="394" t="str">
        <f t="shared" si="122"/>
        <v/>
      </c>
      <c r="J1712" s="394" t="str">
        <f t="shared" si="123"/>
        <v/>
      </c>
      <c r="K1712" s="394" t="str">
        <f t="shared" si="124"/>
        <v/>
      </c>
    </row>
    <row r="1713" spans="8:11" x14ac:dyDescent="0.25">
      <c r="H1713" s="394" t="str">
        <f t="shared" si="121"/>
        <v/>
      </c>
      <c r="I1713" s="394" t="str">
        <f t="shared" si="122"/>
        <v/>
      </c>
      <c r="J1713" s="394" t="str">
        <f t="shared" si="123"/>
        <v/>
      </c>
      <c r="K1713" s="394" t="str">
        <f t="shared" si="124"/>
        <v/>
      </c>
    </row>
    <row r="1714" spans="8:11" x14ac:dyDescent="0.25">
      <c r="H1714" s="394" t="str">
        <f t="shared" si="121"/>
        <v/>
      </c>
      <c r="I1714" s="394" t="str">
        <f t="shared" si="122"/>
        <v/>
      </c>
      <c r="J1714" s="394" t="str">
        <f t="shared" si="123"/>
        <v/>
      </c>
      <c r="K1714" s="394" t="str">
        <f t="shared" si="124"/>
        <v/>
      </c>
    </row>
    <row r="1715" spans="8:11" x14ac:dyDescent="0.25">
      <c r="H1715" s="394" t="str">
        <f t="shared" si="121"/>
        <v/>
      </c>
      <c r="I1715" s="394" t="str">
        <f t="shared" si="122"/>
        <v/>
      </c>
      <c r="J1715" s="394" t="str">
        <f t="shared" si="123"/>
        <v/>
      </c>
      <c r="K1715" s="394" t="str">
        <f t="shared" si="124"/>
        <v/>
      </c>
    </row>
    <row r="1716" spans="8:11" x14ac:dyDescent="0.25">
      <c r="H1716" s="394" t="str">
        <f t="shared" si="121"/>
        <v/>
      </c>
      <c r="I1716" s="394" t="str">
        <f t="shared" si="122"/>
        <v/>
      </c>
      <c r="J1716" s="394" t="str">
        <f t="shared" si="123"/>
        <v/>
      </c>
      <c r="K1716" s="394" t="str">
        <f t="shared" si="124"/>
        <v/>
      </c>
    </row>
    <row r="1717" spans="8:11" x14ac:dyDescent="0.25">
      <c r="H1717" s="394" t="str">
        <f t="shared" si="121"/>
        <v/>
      </c>
      <c r="I1717" s="394" t="str">
        <f t="shared" si="122"/>
        <v/>
      </c>
      <c r="J1717" s="394" t="str">
        <f t="shared" si="123"/>
        <v/>
      </c>
      <c r="K1717" s="394" t="str">
        <f t="shared" si="124"/>
        <v/>
      </c>
    </row>
    <row r="1718" spans="8:11" x14ac:dyDescent="0.25">
      <c r="H1718" s="394" t="str">
        <f t="shared" si="121"/>
        <v/>
      </c>
      <c r="I1718" s="394" t="str">
        <f t="shared" si="122"/>
        <v/>
      </c>
      <c r="J1718" s="394" t="str">
        <f t="shared" si="123"/>
        <v/>
      </c>
      <c r="K1718" s="394" t="str">
        <f t="shared" si="124"/>
        <v/>
      </c>
    </row>
    <row r="1719" spans="8:11" x14ac:dyDescent="0.25">
      <c r="H1719" s="394" t="str">
        <f t="shared" si="121"/>
        <v/>
      </c>
      <c r="I1719" s="394" t="str">
        <f t="shared" si="122"/>
        <v/>
      </c>
      <c r="J1719" s="394" t="str">
        <f t="shared" si="123"/>
        <v/>
      </c>
      <c r="K1719" s="394" t="str">
        <f t="shared" si="124"/>
        <v/>
      </c>
    </row>
    <row r="1720" spans="8:11" x14ac:dyDescent="0.25">
      <c r="H1720" s="394" t="str">
        <f t="shared" si="121"/>
        <v/>
      </c>
      <c r="I1720" s="394" t="str">
        <f t="shared" si="122"/>
        <v/>
      </c>
      <c r="J1720" s="394" t="str">
        <f t="shared" si="123"/>
        <v/>
      </c>
      <c r="K1720" s="394" t="str">
        <f t="shared" si="124"/>
        <v/>
      </c>
    </row>
    <row r="1721" spans="8:11" x14ac:dyDescent="0.25">
      <c r="H1721" s="394" t="str">
        <f t="shared" si="121"/>
        <v/>
      </c>
      <c r="I1721" s="394" t="str">
        <f t="shared" si="122"/>
        <v/>
      </c>
      <c r="J1721" s="394" t="str">
        <f t="shared" si="123"/>
        <v/>
      </c>
      <c r="K1721" s="394" t="str">
        <f t="shared" si="124"/>
        <v/>
      </c>
    </row>
    <row r="1722" spans="8:11" x14ac:dyDescent="0.25">
      <c r="H1722" s="394" t="str">
        <f t="shared" si="121"/>
        <v/>
      </c>
      <c r="I1722" s="394" t="str">
        <f t="shared" si="122"/>
        <v/>
      </c>
      <c r="J1722" s="394" t="str">
        <f t="shared" si="123"/>
        <v/>
      </c>
      <c r="K1722" s="394" t="str">
        <f t="shared" si="124"/>
        <v/>
      </c>
    </row>
    <row r="1723" spans="8:11" x14ac:dyDescent="0.25">
      <c r="H1723" s="394" t="str">
        <f t="shared" si="121"/>
        <v/>
      </c>
      <c r="I1723" s="394" t="str">
        <f t="shared" si="122"/>
        <v/>
      </c>
      <c r="J1723" s="394" t="str">
        <f t="shared" si="123"/>
        <v/>
      </c>
      <c r="K1723" s="394" t="str">
        <f t="shared" si="124"/>
        <v/>
      </c>
    </row>
    <row r="1724" spans="8:11" x14ac:dyDescent="0.25">
      <c r="H1724" s="394" t="str">
        <f t="shared" si="121"/>
        <v/>
      </c>
      <c r="I1724" s="394" t="str">
        <f t="shared" si="122"/>
        <v/>
      </c>
      <c r="J1724" s="394" t="str">
        <f t="shared" si="123"/>
        <v/>
      </c>
      <c r="K1724" s="394" t="str">
        <f t="shared" si="124"/>
        <v/>
      </c>
    </row>
    <row r="1725" spans="8:11" x14ac:dyDescent="0.25">
      <c r="H1725" s="394" t="str">
        <f t="shared" si="121"/>
        <v/>
      </c>
      <c r="I1725" s="394" t="str">
        <f t="shared" si="122"/>
        <v/>
      </c>
      <c r="J1725" s="394" t="str">
        <f t="shared" si="123"/>
        <v/>
      </c>
      <c r="K1725" s="394" t="str">
        <f t="shared" si="124"/>
        <v/>
      </c>
    </row>
    <row r="1726" spans="8:11" x14ac:dyDescent="0.25">
      <c r="H1726" s="394" t="str">
        <f t="shared" si="121"/>
        <v/>
      </c>
      <c r="I1726" s="394" t="str">
        <f t="shared" si="122"/>
        <v/>
      </c>
      <c r="J1726" s="394" t="str">
        <f t="shared" si="123"/>
        <v/>
      </c>
      <c r="K1726" s="394" t="str">
        <f t="shared" si="124"/>
        <v/>
      </c>
    </row>
    <row r="1727" spans="8:11" x14ac:dyDescent="0.25">
      <c r="H1727" s="394" t="str">
        <f t="shared" si="121"/>
        <v/>
      </c>
      <c r="I1727" s="394" t="str">
        <f t="shared" si="122"/>
        <v/>
      </c>
      <c r="J1727" s="394" t="str">
        <f t="shared" si="123"/>
        <v/>
      </c>
      <c r="K1727" s="394" t="str">
        <f t="shared" si="124"/>
        <v/>
      </c>
    </row>
    <row r="1728" spans="8:11" x14ac:dyDescent="0.25">
      <c r="H1728" s="394" t="str">
        <f t="shared" si="121"/>
        <v/>
      </c>
      <c r="I1728" s="394" t="str">
        <f t="shared" si="122"/>
        <v/>
      </c>
      <c r="J1728" s="394" t="str">
        <f t="shared" si="123"/>
        <v/>
      </c>
      <c r="K1728" s="394" t="str">
        <f t="shared" si="124"/>
        <v/>
      </c>
    </row>
    <row r="1729" spans="8:11" x14ac:dyDescent="0.25">
      <c r="H1729" s="394" t="str">
        <f t="shared" si="121"/>
        <v/>
      </c>
      <c r="I1729" s="394" t="str">
        <f t="shared" si="122"/>
        <v/>
      </c>
      <c r="J1729" s="394" t="str">
        <f t="shared" si="123"/>
        <v/>
      </c>
      <c r="K1729" s="394" t="str">
        <f t="shared" si="124"/>
        <v/>
      </c>
    </row>
    <row r="1730" spans="8:11" x14ac:dyDescent="0.25">
      <c r="H1730" s="394" t="str">
        <f t="shared" si="121"/>
        <v/>
      </c>
      <c r="I1730" s="394" t="str">
        <f t="shared" si="122"/>
        <v/>
      </c>
      <c r="J1730" s="394" t="str">
        <f t="shared" si="123"/>
        <v/>
      </c>
      <c r="K1730" s="394" t="str">
        <f t="shared" si="124"/>
        <v/>
      </c>
    </row>
    <row r="1731" spans="8:11" x14ac:dyDescent="0.25">
      <c r="H1731" s="394" t="str">
        <f t="shared" si="121"/>
        <v/>
      </c>
      <c r="I1731" s="394" t="str">
        <f t="shared" si="122"/>
        <v/>
      </c>
      <c r="J1731" s="394" t="str">
        <f t="shared" si="123"/>
        <v/>
      </c>
      <c r="K1731" s="394" t="str">
        <f t="shared" si="124"/>
        <v/>
      </c>
    </row>
    <row r="1732" spans="8:11" x14ac:dyDescent="0.25">
      <c r="H1732" s="394" t="str">
        <f t="shared" si="121"/>
        <v/>
      </c>
      <c r="I1732" s="394" t="str">
        <f t="shared" si="122"/>
        <v/>
      </c>
      <c r="J1732" s="394" t="str">
        <f t="shared" si="123"/>
        <v/>
      </c>
      <c r="K1732" s="394" t="str">
        <f t="shared" si="124"/>
        <v/>
      </c>
    </row>
    <row r="1733" spans="8:11" x14ac:dyDescent="0.25">
      <c r="H1733" s="394" t="str">
        <f t="shared" si="121"/>
        <v/>
      </c>
      <c r="I1733" s="394" t="str">
        <f t="shared" si="122"/>
        <v/>
      </c>
      <c r="J1733" s="394" t="str">
        <f t="shared" si="123"/>
        <v/>
      </c>
      <c r="K1733" s="394" t="str">
        <f t="shared" si="124"/>
        <v/>
      </c>
    </row>
    <row r="1734" spans="8:11" x14ac:dyDescent="0.25">
      <c r="H1734" s="394" t="str">
        <f t="shared" si="121"/>
        <v/>
      </c>
      <c r="I1734" s="394" t="str">
        <f t="shared" si="122"/>
        <v/>
      </c>
      <c r="J1734" s="394" t="str">
        <f t="shared" si="123"/>
        <v/>
      </c>
      <c r="K1734" s="394" t="str">
        <f t="shared" si="124"/>
        <v/>
      </c>
    </row>
    <row r="1735" spans="8:11" x14ac:dyDescent="0.25">
      <c r="H1735" s="394" t="str">
        <f t="shared" si="121"/>
        <v/>
      </c>
      <c r="I1735" s="394" t="str">
        <f t="shared" si="122"/>
        <v/>
      </c>
      <c r="J1735" s="394" t="str">
        <f t="shared" si="123"/>
        <v/>
      </c>
      <c r="K1735" s="394" t="str">
        <f t="shared" si="124"/>
        <v/>
      </c>
    </row>
    <row r="1736" spans="8:11" x14ac:dyDescent="0.25">
      <c r="H1736" s="394" t="str">
        <f t="shared" si="121"/>
        <v/>
      </c>
      <c r="I1736" s="394" t="str">
        <f t="shared" si="122"/>
        <v/>
      </c>
      <c r="J1736" s="394" t="str">
        <f t="shared" si="123"/>
        <v/>
      </c>
      <c r="K1736" s="394" t="str">
        <f t="shared" si="124"/>
        <v/>
      </c>
    </row>
    <row r="1737" spans="8:11" x14ac:dyDescent="0.25">
      <c r="H1737" s="394" t="str">
        <f t="shared" si="121"/>
        <v/>
      </c>
      <c r="I1737" s="394" t="str">
        <f t="shared" si="122"/>
        <v/>
      </c>
      <c r="J1737" s="394" t="str">
        <f t="shared" si="123"/>
        <v/>
      </c>
      <c r="K1737" s="394" t="str">
        <f t="shared" si="124"/>
        <v/>
      </c>
    </row>
    <row r="1738" spans="8:11" x14ac:dyDescent="0.25">
      <c r="H1738" s="394" t="str">
        <f t="shared" si="121"/>
        <v/>
      </c>
      <c r="I1738" s="394" t="str">
        <f t="shared" si="122"/>
        <v/>
      </c>
      <c r="J1738" s="394" t="str">
        <f t="shared" si="123"/>
        <v/>
      </c>
      <c r="K1738" s="394" t="str">
        <f t="shared" si="124"/>
        <v/>
      </c>
    </row>
    <row r="1739" spans="8:11" x14ac:dyDescent="0.25">
      <c r="H1739" s="394" t="str">
        <f t="shared" si="121"/>
        <v/>
      </c>
      <c r="I1739" s="394" t="str">
        <f t="shared" si="122"/>
        <v/>
      </c>
      <c r="J1739" s="394" t="str">
        <f t="shared" si="123"/>
        <v/>
      </c>
      <c r="K1739" s="394" t="str">
        <f t="shared" si="124"/>
        <v/>
      </c>
    </row>
    <row r="1740" spans="8:11" x14ac:dyDescent="0.25">
      <c r="H1740" s="394" t="str">
        <f t="shared" si="121"/>
        <v/>
      </c>
      <c r="I1740" s="394" t="str">
        <f t="shared" si="122"/>
        <v/>
      </c>
      <c r="J1740" s="394" t="str">
        <f t="shared" si="123"/>
        <v/>
      </c>
      <c r="K1740" s="394" t="str">
        <f t="shared" si="124"/>
        <v/>
      </c>
    </row>
    <row r="1741" spans="8:11" x14ac:dyDescent="0.25">
      <c r="H1741" s="394" t="str">
        <f t="shared" si="121"/>
        <v/>
      </c>
      <c r="I1741" s="394" t="str">
        <f t="shared" si="122"/>
        <v/>
      </c>
      <c r="J1741" s="394" t="str">
        <f t="shared" si="123"/>
        <v/>
      </c>
      <c r="K1741" s="394" t="str">
        <f t="shared" si="124"/>
        <v/>
      </c>
    </row>
    <row r="1742" spans="8:11" x14ac:dyDescent="0.25">
      <c r="H1742" s="394" t="str">
        <f t="shared" si="121"/>
        <v/>
      </c>
      <c r="I1742" s="394" t="str">
        <f t="shared" si="122"/>
        <v/>
      </c>
      <c r="J1742" s="394" t="str">
        <f t="shared" si="123"/>
        <v/>
      </c>
      <c r="K1742" s="394" t="str">
        <f t="shared" si="124"/>
        <v/>
      </c>
    </row>
    <row r="1743" spans="8:11" x14ac:dyDescent="0.25">
      <c r="H1743" s="394" t="str">
        <f t="shared" si="121"/>
        <v/>
      </c>
      <c r="I1743" s="394" t="str">
        <f t="shared" si="122"/>
        <v/>
      </c>
      <c r="J1743" s="394" t="str">
        <f t="shared" si="123"/>
        <v/>
      </c>
      <c r="K1743" s="394" t="str">
        <f t="shared" si="124"/>
        <v/>
      </c>
    </row>
    <row r="1744" spans="8:11" x14ac:dyDescent="0.25">
      <c r="H1744" s="394" t="str">
        <f t="shared" si="121"/>
        <v/>
      </c>
      <c r="I1744" s="394" t="str">
        <f t="shared" si="122"/>
        <v/>
      </c>
      <c r="J1744" s="394" t="str">
        <f t="shared" si="123"/>
        <v/>
      </c>
      <c r="K1744" s="394" t="str">
        <f t="shared" si="124"/>
        <v/>
      </c>
    </row>
    <row r="1745" spans="8:11" x14ac:dyDescent="0.25">
      <c r="H1745" s="394" t="str">
        <f t="shared" si="121"/>
        <v/>
      </c>
      <c r="I1745" s="394" t="str">
        <f t="shared" si="122"/>
        <v/>
      </c>
      <c r="J1745" s="394" t="str">
        <f t="shared" si="123"/>
        <v/>
      </c>
      <c r="K1745" s="394" t="str">
        <f t="shared" si="124"/>
        <v/>
      </c>
    </row>
    <row r="1746" spans="8:11" x14ac:dyDescent="0.25">
      <c r="H1746" s="394" t="str">
        <f t="shared" si="121"/>
        <v/>
      </c>
      <c r="I1746" s="394" t="str">
        <f t="shared" si="122"/>
        <v/>
      </c>
      <c r="J1746" s="394" t="str">
        <f t="shared" si="123"/>
        <v/>
      </c>
      <c r="K1746" s="394" t="str">
        <f t="shared" si="124"/>
        <v/>
      </c>
    </row>
    <row r="1747" spans="8:11" x14ac:dyDescent="0.25">
      <c r="H1747" s="394" t="str">
        <f t="shared" si="121"/>
        <v/>
      </c>
      <c r="I1747" s="394" t="str">
        <f t="shared" si="122"/>
        <v/>
      </c>
      <c r="J1747" s="394" t="str">
        <f t="shared" si="123"/>
        <v/>
      </c>
      <c r="K1747" s="394" t="str">
        <f t="shared" si="124"/>
        <v/>
      </c>
    </row>
    <row r="1748" spans="8:11" x14ac:dyDescent="0.25">
      <c r="H1748" s="394" t="str">
        <f t="shared" si="121"/>
        <v/>
      </c>
      <c r="I1748" s="394" t="str">
        <f t="shared" si="122"/>
        <v/>
      </c>
      <c r="J1748" s="394" t="str">
        <f t="shared" si="123"/>
        <v/>
      </c>
      <c r="K1748" s="394" t="str">
        <f t="shared" si="124"/>
        <v/>
      </c>
    </row>
    <row r="1749" spans="8:11" x14ac:dyDescent="0.25">
      <c r="H1749" s="394" t="str">
        <f t="shared" si="121"/>
        <v/>
      </c>
      <c r="I1749" s="394" t="str">
        <f t="shared" si="122"/>
        <v/>
      </c>
      <c r="J1749" s="394" t="str">
        <f t="shared" si="123"/>
        <v/>
      </c>
      <c r="K1749" s="394" t="str">
        <f t="shared" si="124"/>
        <v/>
      </c>
    </row>
    <row r="1750" spans="8:11" x14ac:dyDescent="0.25">
      <c r="H1750" s="394" t="str">
        <f t="shared" si="121"/>
        <v/>
      </c>
      <c r="I1750" s="394" t="str">
        <f t="shared" si="122"/>
        <v/>
      </c>
      <c r="J1750" s="394" t="str">
        <f t="shared" si="123"/>
        <v/>
      </c>
      <c r="K1750" s="394" t="str">
        <f t="shared" si="124"/>
        <v/>
      </c>
    </row>
    <row r="1751" spans="8:11" x14ac:dyDescent="0.25">
      <c r="H1751" s="394" t="str">
        <f t="shared" si="121"/>
        <v/>
      </c>
      <c r="I1751" s="394" t="str">
        <f t="shared" si="122"/>
        <v/>
      </c>
      <c r="J1751" s="394" t="str">
        <f t="shared" si="123"/>
        <v/>
      </c>
      <c r="K1751" s="394" t="str">
        <f t="shared" si="124"/>
        <v/>
      </c>
    </row>
    <row r="1752" spans="8:11" x14ac:dyDescent="0.25">
      <c r="H1752" s="394" t="str">
        <f t="shared" si="121"/>
        <v/>
      </c>
      <c r="I1752" s="394" t="str">
        <f t="shared" si="122"/>
        <v/>
      </c>
      <c r="J1752" s="394" t="str">
        <f t="shared" si="123"/>
        <v/>
      </c>
      <c r="K1752" s="394" t="str">
        <f t="shared" si="124"/>
        <v/>
      </c>
    </row>
    <row r="1753" spans="8:11" x14ac:dyDescent="0.25">
      <c r="H1753" s="394" t="str">
        <f t="shared" si="121"/>
        <v/>
      </c>
      <c r="I1753" s="394" t="str">
        <f t="shared" si="122"/>
        <v/>
      </c>
      <c r="J1753" s="394" t="str">
        <f t="shared" si="123"/>
        <v/>
      </c>
      <c r="K1753" s="394" t="str">
        <f t="shared" si="124"/>
        <v/>
      </c>
    </row>
    <row r="1754" spans="8:11" x14ac:dyDescent="0.25">
      <c r="H1754" s="394" t="str">
        <f t="shared" si="121"/>
        <v/>
      </c>
      <c r="I1754" s="394" t="str">
        <f t="shared" si="122"/>
        <v/>
      </c>
      <c r="J1754" s="394" t="str">
        <f t="shared" si="123"/>
        <v/>
      </c>
      <c r="K1754" s="394" t="str">
        <f t="shared" si="124"/>
        <v/>
      </c>
    </row>
    <row r="1755" spans="8:11" x14ac:dyDescent="0.25">
      <c r="H1755" s="394" t="str">
        <f t="shared" si="121"/>
        <v/>
      </c>
      <c r="I1755" s="394" t="str">
        <f t="shared" si="122"/>
        <v/>
      </c>
      <c r="J1755" s="394" t="str">
        <f t="shared" si="123"/>
        <v/>
      </c>
      <c r="K1755" s="394" t="str">
        <f t="shared" si="124"/>
        <v/>
      </c>
    </row>
    <row r="1756" spans="8:11" x14ac:dyDescent="0.25">
      <c r="H1756" s="394" t="str">
        <f t="shared" si="121"/>
        <v/>
      </c>
      <c r="I1756" s="394" t="str">
        <f t="shared" si="122"/>
        <v/>
      </c>
      <c r="J1756" s="394" t="str">
        <f t="shared" si="123"/>
        <v/>
      </c>
      <c r="K1756" s="394" t="str">
        <f t="shared" si="124"/>
        <v/>
      </c>
    </row>
    <row r="1757" spans="8:11" x14ac:dyDescent="0.25">
      <c r="H1757" s="394" t="str">
        <f t="shared" si="121"/>
        <v/>
      </c>
      <c r="I1757" s="394" t="str">
        <f t="shared" si="122"/>
        <v/>
      </c>
      <c r="J1757" s="394" t="str">
        <f t="shared" si="123"/>
        <v/>
      </c>
      <c r="K1757" s="394" t="str">
        <f t="shared" si="124"/>
        <v/>
      </c>
    </row>
    <row r="1758" spans="8:11" x14ac:dyDescent="0.25">
      <c r="H1758" s="394" t="str">
        <f t="shared" si="121"/>
        <v/>
      </c>
      <c r="I1758" s="394" t="str">
        <f t="shared" si="122"/>
        <v/>
      </c>
      <c r="J1758" s="394" t="str">
        <f t="shared" si="123"/>
        <v/>
      </c>
      <c r="K1758" s="394" t="str">
        <f t="shared" si="124"/>
        <v/>
      </c>
    </row>
    <row r="1759" spans="8:11" x14ac:dyDescent="0.25">
      <c r="H1759" s="394" t="str">
        <f t="shared" si="121"/>
        <v/>
      </c>
      <c r="I1759" s="394" t="str">
        <f t="shared" si="122"/>
        <v/>
      </c>
      <c r="J1759" s="394" t="str">
        <f t="shared" si="123"/>
        <v/>
      </c>
      <c r="K1759" s="394" t="str">
        <f t="shared" si="124"/>
        <v/>
      </c>
    </row>
    <row r="1760" spans="8:11" x14ac:dyDescent="0.25">
      <c r="H1760" s="394" t="str">
        <f t="shared" si="121"/>
        <v/>
      </c>
      <c r="I1760" s="394" t="str">
        <f t="shared" si="122"/>
        <v/>
      </c>
      <c r="J1760" s="394" t="str">
        <f t="shared" si="123"/>
        <v/>
      </c>
      <c r="K1760" s="394" t="str">
        <f t="shared" si="124"/>
        <v/>
      </c>
    </row>
    <row r="1761" spans="8:11" x14ac:dyDescent="0.25">
      <c r="H1761" s="394" t="str">
        <f t="shared" si="121"/>
        <v/>
      </c>
      <c r="I1761" s="394" t="str">
        <f t="shared" si="122"/>
        <v/>
      </c>
      <c r="J1761" s="394" t="str">
        <f t="shared" si="123"/>
        <v/>
      </c>
      <c r="K1761" s="394" t="str">
        <f t="shared" si="124"/>
        <v/>
      </c>
    </row>
    <row r="1762" spans="8:11" x14ac:dyDescent="0.25">
      <c r="H1762" s="394" t="str">
        <f t="shared" si="121"/>
        <v/>
      </c>
      <c r="I1762" s="394" t="str">
        <f t="shared" si="122"/>
        <v/>
      </c>
      <c r="J1762" s="394" t="str">
        <f t="shared" si="123"/>
        <v/>
      </c>
      <c r="K1762" s="394" t="str">
        <f t="shared" si="124"/>
        <v/>
      </c>
    </row>
    <row r="1763" spans="8:11" x14ac:dyDescent="0.25">
      <c r="H1763" s="394" t="str">
        <f t="shared" si="121"/>
        <v/>
      </c>
      <c r="I1763" s="394" t="str">
        <f t="shared" si="122"/>
        <v/>
      </c>
      <c r="J1763" s="394" t="str">
        <f t="shared" si="123"/>
        <v/>
      </c>
      <c r="K1763" s="394" t="str">
        <f t="shared" si="124"/>
        <v/>
      </c>
    </row>
    <row r="1764" spans="8:11" x14ac:dyDescent="0.25">
      <c r="H1764" s="394" t="str">
        <f t="shared" si="121"/>
        <v/>
      </c>
      <c r="I1764" s="394" t="str">
        <f t="shared" si="122"/>
        <v/>
      </c>
      <c r="J1764" s="394" t="str">
        <f t="shared" si="123"/>
        <v/>
      </c>
      <c r="K1764" s="394" t="str">
        <f t="shared" si="124"/>
        <v/>
      </c>
    </row>
    <row r="1765" spans="8:11" x14ac:dyDescent="0.25">
      <c r="H1765" s="394" t="str">
        <f t="shared" si="121"/>
        <v/>
      </c>
      <c r="I1765" s="394" t="str">
        <f t="shared" si="122"/>
        <v/>
      </c>
      <c r="J1765" s="394" t="str">
        <f t="shared" si="123"/>
        <v/>
      </c>
      <c r="K1765" s="394" t="str">
        <f t="shared" si="124"/>
        <v/>
      </c>
    </row>
    <row r="1766" spans="8:11" x14ac:dyDescent="0.25">
      <c r="H1766" s="394" t="str">
        <f t="shared" si="121"/>
        <v/>
      </c>
      <c r="I1766" s="394" t="str">
        <f t="shared" si="122"/>
        <v/>
      </c>
      <c r="J1766" s="394" t="str">
        <f t="shared" si="123"/>
        <v/>
      </c>
      <c r="K1766" s="394" t="str">
        <f t="shared" si="124"/>
        <v/>
      </c>
    </row>
    <row r="1767" spans="8:11" x14ac:dyDescent="0.25">
      <c r="H1767" s="394" t="str">
        <f t="shared" si="121"/>
        <v/>
      </c>
      <c r="I1767" s="394" t="str">
        <f t="shared" si="122"/>
        <v/>
      </c>
      <c r="J1767" s="394" t="str">
        <f t="shared" si="123"/>
        <v/>
      </c>
      <c r="K1767" s="394" t="str">
        <f t="shared" si="124"/>
        <v/>
      </c>
    </row>
    <row r="1768" spans="8:11" x14ac:dyDescent="0.25">
      <c r="H1768" s="394" t="str">
        <f t="shared" si="121"/>
        <v/>
      </c>
      <c r="I1768" s="394" t="str">
        <f t="shared" si="122"/>
        <v/>
      </c>
      <c r="J1768" s="394" t="str">
        <f t="shared" si="123"/>
        <v/>
      </c>
      <c r="K1768" s="394" t="str">
        <f t="shared" si="124"/>
        <v/>
      </c>
    </row>
    <row r="1769" spans="8:11" x14ac:dyDescent="0.25">
      <c r="H1769" s="394" t="str">
        <f t="shared" ref="H1769:H1832" si="125">IF($C791="","",ROUND(($B$2*$F791*($B$5/1000))/$B$6,2))</f>
        <v/>
      </c>
      <c r="I1769" s="394" t="str">
        <f t="shared" ref="I1769:I1832" si="126">IF($C791="","",ROUND(($B$3*$F791*($B$5/1000))/$B$6,2))</f>
        <v/>
      </c>
      <c r="J1769" s="394" t="str">
        <f t="shared" ref="J1769:J1832" si="127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8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5"/>
        <v/>
      </c>
      <c r="I1770" s="394" t="str">
        <f t="shared" si="126"/>
        <v/>
      </c>
      <c r="J1770" s="394" t="str">
        <f t="shared" si="127"/>
        <v/>
      </c>
      <c r="K1770" s="394" t="str">
        <f t="shared" si="128"/>
        <v/>
      </c>
    </row>
    <row r="1771" spans="8:11" x14ac:dyDescent="0.25">
      <c r="H1771" s="394" t="str">
        <f t="shared" si="125"/>
        <v/>
      </c>
      <c r="I1771" s="394" t="str">
        <f t="shared" si="126"/>
        <v/>
      </c>
      <c r="J1771" s="394" t="str">
        <f t="shared" si="127"/>
        <v/>
      </c>
      <c r="K1771" s="394" t="str">
        <f t="shared" si="128"/>
        <v/>
      </c>
    </row>
    <row r="1772" spans="8:11" x14ac:dyDescent="0.25">
      <c r="H1772" s="394" t="str">
        <f t="shared" si="125"/>
        <v/>
      </c>
      <c r="I1772" s="394" t="str">
        <f t="shared" si="126"/>
        <v/>
      </c>
      <c r="J1772" s="394" t="str">
        <f t="shared" si="127"/>
        <v/>
      </c>
      <c r="K1772" s="394" t="str">
        <f t="shared" si="128"/>
        <v/>
      </c>
    </row>
    <row r="1773" spans="8:11" x14ac:dyDescent="0.25">
      <c r="H1773" s="394" t="str">
        <f t="shared" si="125"/>
        <v/>
      </c>
      <c r="I1773" s="394" t="str">
        <f t="shared" si="126"/>
        <v/>
      </c>
      <c r="J1773" s="394" t="str">
        <f t="shared" si="127"/>
        <v/>
      </c>
      <c r="K1773" s="394" t="str">
        <f t="shared" si="128"/>
        <v/>
      </c>
    </row>
    <row r="1774" spans="8:11" x14ac:dyDescent="0.25">
      <c r="H1774" s="394" t="str">
        <f t="shared" si="125"/>
        <v/>
      </c>
      <c r="I1774" s="394" t="str">
        <f t="shared" si="126"/>
        <v/>
      </c>
      <c r="J1774" s="394" t="str">
        <f t="shared" si="127"/>
        <v/>
      </c>
      <c r="K1774" s="394" t="str">
        <f t="shared" si="128"/>
        <v/>
      </c>
    </row>
    <row r="1775" spans="8:11" x14ac:dyDescent="0.25">
      <c r="H1775" s="394" t="str">
        <f t="shared" si="125"/>
        <v/>
      </c>
      <c r="I1775" s="394" t="str">
        <f t="shared" si="126"/>
        <v/>
      </c>
      <c r="J1775" s="394" t="str">
        <f t="shared" si="127"/>
        <v/>
      </c>
      <c r="K1775" s="394" t="str">
        <f t="shared" si="128"/>
        <v/>
      </c>
    </row>
    <row r="1776" spans="8:11" x14ac:dyDescent="0.25">
      <c r="H1776" s="394" t="str">
        <f t="shared" si="125"/>
        <v/>
      </c>
      <c r="I1776" s="394" t="str">
        <f t="shared" si="126"/>
        <v/>
      </c>
      <c r="J1776" s="394" t="str">
        <f t="shared" si="127"/>
        <v/>
      </c>
      <c r="K1776" s="394" t="str">
        <f t="shared" si="128"/>
        <v/>
      </c>
    </row>
    <row r="1777" spans="8:11" x14ac:dyDescent="0.25">
      <c r="H1777" s="394" t="str">
        <f t="shared" si="125"/>
        <v/>
      </c>
      <c r="I1777" s="394" t="str">
        <f t="shared" si="126"/>
        <v/>
      </c>
      <c r="J1777" s="394" t="str">
        <f t="shared" si="127"/>
        <v/>
      </c>
      <c r="K1777" s="394" t="str">
        <f t="shared" si="128"/>
        <v/>
      </c>
    </row>
    <row r="1778" spans="8:11" x14ac:dyDescent="0.25">
      <c r="H1778" s="394" t="str">
        <f t="shared" si="125"/>
        <v/>
      </c>
      <c r="I1778" s="394" t="str">
        <f t="shared" si="126"/>
        <v/>
      </c>
      <c r="J1778" s="394" t="str">
        <f t="shared" si="127"/>
        <v/>
      </c>
      <c r="K1778" s="394" t="str">
        <f t="shared" si="128"/>
        <v/>
      </c>
    </row>
    <row r="1779" spans="8:11" x14ac:dyDescent="0.25">
      <c r="H1779" s="394" t="str">
        <f t="shared" si="125"/>
        <v/>
      </c>
      <c r="I1779" s="394" t="str">
        <f t="shared" si="126"/>
        <v/>
      </c>
      <c r="J1779" s="394" t="str">
        <f t="shared" si="127"/>
        <v/>
      </c>
      <c r="K1779" s="394" t="str">
        <f t="shared" si="128"/>
        <v/>
      </c>
    </row>
    <row r="1780" spans="8:11" x14ac:dyDescent="0.25">
      <c r="H1780" s="394" t="str">
        <f t="shared" si="125"/>
        <v/>
      </c>
      <c r="I1780" s="394" t="str">
        <f t="shared" si="126"/>
        <v/>
      </c>
      <c r="J1780" s="394" t="str">
        <f t="shared" si="127"/>
        <v/>
      </c>
      <c r="K1780" s="394" t="str">
        <f t="shared" si="128"/>
        <v/>
      </c>
    </row>
    <row r="1781" spans="8:11" x14ac:dyDescent="0.25">
      <c r="H1781" s="394" t="str">
        <f t="shared" si="125"/>
        <v/>
      </c>
      <c r="I1781" s="394" t="str">
        <f t="shared" si="126"/>
        <v/>
      </c>
      <c r="J1781" s="394" t="str">
        <f t="shared" si="127"/>
        <v/>
      </c>
      <c r="K1781" s="394" t="str">
        <f t="shared" si="128"/>
        <v/>
      </c>
    </row>
    <row r="1782" spans="8:11" x14ac:dyDescent="0.25">
      <c r="H1782" s="394" t="str">
        <f t="shared" si="125"/>
        <v/>
      </c>
      <c r="I1782" s="394" t="str">
        <f t="shared" si="126"/>
        <v/>
      </c>
      <c r="J1782" s="394" t="str">
        <f t="shared" si="127"/>
        <v/>
      </c>
      <c r="K1782" s="394" t="str">
        <f t="shared" si="128"/>
        <v/>
      </c>
    </row>
    <row r="1783" spans="8:11" x14ac:dyDescent="0.25">
      <c r="H1783" s="394" t="str">
        <f t="shared" si="125"/>
        <v/>
      </c>
      <c r="I1783" s="394" t="str">
        <f t="shared" si="126"/>
        <v/>
      </c>
      <c r="J1783" s="394" t="str">
        <f t="shared" si="127"/>
        <v/>
      </c>
      <c r="K1783" s="394" t="str">
        <f t="shared" si="128"/>
        <v/>
      </c>
    </row>
    <row r="1784" spans="8:11" x14ac:dyDescent="0.25">
      <c r="H1784" s="394" t="str">
        <f t="shared" si="125"/>
        <v/>
      </c>
      <c r="I1784" s="394" t="str">
        <f t="shared" si="126"/>
        <v/>
      </c>
      <c r="J1784" s="394" t="str">
        <f t="shared" si="127"/>
        <v/>
      </c>
      <c r="K1784" s="394" t="str">
        <f t="shared" si="128"/>
        <v/>
      </c>
    </row>
    <row r="1785" spans="8:11" x14ac:dyDescent="0.25">
      <c r="H1785" s="394" t="str">
        <f t="shared" si="125"/>
        <v/>
      </c>
      <c r="I1785" s="394" t="str">
        <f t="shared" si="126"/>
        <v/>
      </c>
      <c r="J1785" s="394" t="str">
        <f t="shared" si="127"/>
        <v/>
      </c>
      <c r="K1785" s="394" t="str">
        <f t="shared" si="128"/>
        <v/>
      </c>
    </row>
    <row r="1786" spans="8:11" x14ac:dyDescent="0.25">
      <c r="H1786" s="394" t="str">
        <f t="shared" si="125"/>
        <v/>
      </c>
      <c r="I1786" s="394" t="str">
        <f t="shared" si="126"/>
        <v/>
      </c>
      <c r="J1786" s="394" t="str">
        <f t="shared" si="127"/>
        <v/>
      </c>
      <c r="K1786" s="394" t="str">
        <f t="shared" si="128"/>
        <v/>
      </c>
    </row>
    <row r="1787" spans="8:11" x14ac:dyDescent="0.25">
      <c r="H1787" s="394" t="str">
        <f t="shared" si="125"/>
        <v/>
      </c>
      <c r="I1787" s="394" t="str">
        <f t="shared" si="126"/>
        <v/>
      </c>
      <c r="J1787" s="394" t="str">
        <f t="shared" si="127"/>
        <v/>
      </c>
      <c r="K1787" s="394" t="str">
        <f t="shared" si="128"/>
        <v/>
      </c>
    </row>
    <row r="1788" spans="8:11" x14ac:dyDescent="0.25">
      <c r="H1788" s="394" t="str">
        <f t="shared" si="125"/>
        <v/>
      </c>
      <c r="I1788" s="394" t="str">
        <f t="shared" si="126"/>
        <v/>
      </c>
      <c r="J1788" s="394" t="str">
        <f t="shared" si="127"/>
        <v/>
      </c>
      <c r="K1788" s="394" t="str">
        <f t="shared" si="128"/>
        <v/>
      </c>
    </row>
    <row r="1789" spans="8:11" x14ac:dyDescent="0.25">
      <c r="H1789" s="394" t="str">
        <f t="shared" si="125"/>
        <v/>
      </c>
      <c r="I1789" s="394" t="str">
        <f t="shared" si="126"/>
        <v/>
      </c>
      <c r="J1789" s="394" t="str">
        <f t="shared" si="127"/>
        <v/>
      </c>
      <c r="K1789" s="394" t="str">
        <f t="shared" si="128"/>
        <v/>
      </c>
    </row>
    <row r="1790" spans="8:11" x14ac:dyDescent="0.25">
      <c r="H1790" s="394" t="str">
        <f t="shared" si="125"/>
        <v/>
      </c>
      <c r="I1790" s="394" t="str">
        <f t="shared" si="126"/>
        <v/>
      </c>
      <c r="J1790" s="394" t="str">
        <f t="shared" si="127"/>
        <v/>
      </c>
      <c r="K1790" s="394" t="str">
        <f t="shared" si="128"/>
        <v/>
      </c>
    </row>
    <row r="1791" spans="8:11" x14ac:dyDescent="0.25">
      <c r="H1791" s="394" t="str">
        <f t="shared" si="125"/>
        <v/>
      </c>
      <c r="I1791" s="394" t="str">
        <f t="shared" si="126"/>
        <v/>
      </c>
      <c r="J1791" s="394" t="str">
        <f t="shared" si="127"/>
        <v/>
      </c>
      <c r="K1791" s="394" t="str">
        <f t="shared" si="128"/>
        <v/>
      </c>
    </row>
    <row r="1792" spans="8:11" x14ac:dyDescent="0.25">
      <c r="H1792" s="394" t="str">
        <f t="shared" si="125"/>
        <v/>
      </c>
      <c r="I1792" s="394" t="str">
        <f t="shared" si="126"/>
        <v/>
      </c>
      <c r="J1792" s="394" t="str">
        <f t="shared" si="127"/>
        <v/>
      </c>
      <c r="K1792" s="394" t="str">
        <f t="shared" si="128"/>
        <v/>
      </c>
    </row>
    <row r="1793" spans="8:11" x14ac:dyDescent="0.25">
      <c r="H1793" s="394" t="str">
        <f t="shared" si="125"/>
        <v/>
      </c>
      <c r="I1793" s="394" t="str">
        <f t="shared" si="126"/>
        <v/>
      </c>
      <c r="J1793" s="394" t="str">
        <f t="shared" si="127"/>
        <v/>
      </c>
      <c r="K1793" s="394" t="str">
        <f t="shared" si="128"/>
        <v/>
      </c>
    </row>
    <row r="1794" spans="8:11" x14ac:dyDescent="0.25">
      <c r="H1794" s="394" t="str">
        <f t="shared" si="125"/>
        <v/>
      </c>
      <c r="I1794" s="394" t="str">
        <f t="shared" si="126"/>
        <v/>
      </c>
      <c r="J1794" s="394" t="str">
        <f t="shared" si="127"/>
        <v/>
      </c>
      <c r="K1794" s="394" t="str">
        <f t="shared" si="128"/>
        <v/>
      </c>
    </row>
    <row r="1795" spans="8:11" x14ac:dyDescent="0.25">
      <c r="H1795" s="394" t="str">
        <f t="shared" si="125"/>
        <v/>
      </c>
      <c r="I1795" s="394" t="str">
        <f t="shared" si="126"/>
        <v/>
      </c>
      <c r="J1795" s="394" t="str">
        <f t="shared" si="127"/>
        <v/>
      </c>
      <c r="K1795" s="394" t="str">
        <f t="shared" si="128"/>
        <v/>
      </c>
    </row>
    <row r="1796" spans="8:11" x14ac:dyDescent="0.25">
      <c r="H1796" s="394" t="str">
        <f t="shared" si="125"/>
        <v/>
      </c>
      <c r="I1796" s="394" t="str">
        <f t="shared" si="126"/>
        <v/>
      </c>
      <c r="J1796" s="394" t="str">
        <f t="shared" si="127"/>
        <v/>
      </c>
      <c r="K1796" s="394" t="str">
        <f t="shared" si="128"/>
        <v/>
      </c>
    </row>
    <row r="1797" spans="8:11" x14ac:dyDescent="0.25">
      <c r="H1797" s="394" t="str">
        <f t="shared" si="125"/>
        <v/>
      </c>
      <c r="I1797" s="394" t="str">
        <f t="shared" si="126"/>
        <v/>
      </c>
      <c r="J1797" s="394" t="str">
        <f t="shared" si="127"/>
        <v/>
      </c>
      <c r="K1797" s="394" t="str">
        <f t="shared" si="128"/>
        <v/>
      </c>
    </row>
    <row r="1798" spans="8:11" x14ac:dyDescent="0.25">
      <c r="H1798" s="394" t="str">
        <f t="shared" si="125"/>
        <v/>
      </c>
      <c r="I1798" s="394" t="str">
        <f t="shared" si="126"/>
        <v/>
      </c>
      <c r="J1798" s="394" t="str">
        <f t="shared" si="127"/>
        <v/>
      </c>
      <c r="K1798" s="394" t="str">
        <f t="shared" si="128"/>
        <v/>
      </c>
    </row>
    <row r="1799" spans="8:11" x14ac:dyDescent="0.25">
      <c r="H1799" s="394" t="str">
        <f t="shared" si="125"/>
        <v/>
      </c>
      <c r="I1799" s="394" t="str">
        <f t="shared" si="126"/>
        <v/>
      </c>
      <c r="J1799" s="394" t="str">
        <f t="shared" si="127"/>
        <v/>
      </c>
      <c r="K1799" s="394" t="str">
        <f t="shared" si="128"/>
        <v/>
      </c>
    </row>
    <row r="1800" spans="8:11" x14ac:dyDescent="0.25">
      <c r="H1800" s="394" t="str">
        <f t="shared" si="125"/>
        <v/>
      </c>
      <c r="I1800" s="394" t="str">
        <f t="shared" si="126"/>
        <v/>
      </c>
      <c r="J1800" s="394" t="str">
        <f t="shared" si="127"/>
        <v/>
      </c>
      <c r="K1800" s="394" t="str">
        <f t="shared" si="128"/>
        <v/>
      </c>
    </row>
    <row r="1801" spans="8:11" x14ac:dyDescent="0.25">
      <c r="H1801" s="394" t="str">
        <f t="shared" si="125"/>
        <v/>
      </c>
      <c r="I1801" s="394" t="str">
        <f t="shared" si="126"/>
        <v/>
      </c>
      <c r="J1801" s="394" t="str">
        <f t="shared" si="127"/>
        <v/>
      </c>
      <c r="K1801" s="394" t="str">
        <f t="shared" si="128"/>
        <v/>
      </c>
    </row>
    <row r="1802" spans="8:11" x14ac:dyDescent="0.25">
      <c r="H1802" s="394" t="str">
        <f t="shared" si="125"/>
        <v/>
      </c>
      <c r="I1802" s="394" t="str">
        <f t="shared" si="126"/>
        <v/>
      </c>
      <c r="J1802" s="394" t="str">
        <f t="shared" si="127"/>
        <v/>
      </c>
      <c r="K1802" s="394" t="str">
        <f t="shared" si="128"/>
        <v/>
      </c>
    </row>
    <row r="1803" spans="8:11" x14ac:dyDescent="0.25">
      <c r="H1803" s="394" t="str">
        <f t="shared" si="125"/>
        <v/>
      </c>
      <c r="I1803" s="394" t="str">
        <f t="shared" si="126"/>
        <v/>
      </c>
      <c r="J1803" s="394" t="str">
        <f t="shared" si="127"/>
        <v/>
      </c>
      <c r="K1803" s="394" t="str">
        <f t="shared" si="128"/>
        <v/>
      </c>
    </row>
    <row r="1804" spans="8:11" x14ac:dyDescent="0.25">
      <c r="H1804" s="394" t="str">
        <f t="shared" si="125"/>
        <v/>
      </c>
      <c r="I1804" s="394" t="str">
        <f t="shared" si="126"/>
        <v/>
      </c>
      <c r="J1804" s="394" t="str">
        <f t="shared" si="127"/>
        <v/>
      </c>
      <c r="K1804" s="394" t="str">
        <f t="shared" si="128"/>
        <v/>
      </c>
    </row>
    <row r="1805" spans="8:11" x14ac:dyDescent="0.25">
      <c r="H1805" s="394" t="str">
        <f t="shared" si="125"/>
        <v/>
      </c>
      <c r="I1805" s="394" t="str">
        <f t="shared" si="126"/>
        <v/>
      </c>
      <c r="J1805" s="394" t="str">
        <f t="shared" si="127"/>
        <v/>
      </c>
      <c r="K1805" s="394" t="str">
        <f t="shared" si="128"/>
        <v/>
      </c>
    </row>
    <row r="1806" spans="8:11" x14ac:dyDescent="0.25">
      <c r="H1806" s="394" t="str">
        <f t="shared" si="125"/>
        <v/>
      </c>
      <c r="I1806" s="394" t="str">
        <f t="shared" si="126"/>
        <v/>
      </c>
      <c r="J1806" s="394" t="str">
        <f t="shared" si="127"/>
        <v/>
      </c>
      <c r="K1806" s="394" t="str">
        <f t="shared" si="128"/>
        <v/>
      </c>
    </row>
    <row r="1807" spans="8:11" x14ac:dyDescent="0.25">
      <c r="H1807" s="394" t="str">
        <f t="shared" si="125"/>
        <v/>
      </c>
      <c r="I1807" s="394" t="str">
        <f t="shared" si="126"/>
        <v/>
      </c>
      <c r="J1807" s="394" t="str">
        <f t="shared" si="127"/>
        <v/>
      </c>
      <c r="K1807" s="394" t="str">
        <f t="shared" si="128"/>
        <v/>
      </c>
    </row>
    <row r="1808" spans="8:11" x14ac:dyDescent="0.25">
      <c r="H1808" s="394" t="str">
        <f t="shared" si="125"/>
        <v/>
      </c>
      <c r="I1808" s="394" t="str">
        <f t="shared" si="126"/>
        <v/>
      </c>
      <c r="J1808" s="394" t="str">
        <f t="shared" si="127"/>
        <v/>
      </c>
      <c r="K1808" s="394" t="str">
        <f t="shared" si="128"/>
        <v/>
      </c>
    </row>
    <row r="1809" spans="8:11" x14ac:dyDescent="0.25">
      <c r="H1809" s="394" t="str">
        <f t="shared" si="125"/>
        <v/>
      </c>
      <c r="I1809" s="394" t="str">
        <f t="shared" si="126"/>
        <v/>
      </c>
      <c r="J1809" s="394" t="str">
        <f t="shared" si="127"/>
        <v/>
      </c>
      <c r="K1809" s="394" t="str">
        <f t="shared" si="128"/>
        <v/>
      </c>
    </row>
    <row r="1810" spans="8:11" x14ac:dyDescent="0.25">
      <c r="H1810" s="394" t="str">
        <f t="shared" si="125"/>
        <v/>
      </c>
      <c r="I1810" s="394" t="str">
        <f t="shared" si="126"/>
        <v/>
      </c>
      <c r="J1810" s="394" t="str">
        <f t="shared" si="127"/>
        <v/>
      </c>
      <c r="K1810" s="394" t="str">
        <f t="shared" si="128"/>
        <v/>
      </c>
    </row>
    <row r="1811" spans="8:11" x14ac:dyDescent="0.25">
      <c r="H1811" s="394" t="str">
        <f t="shared" si="125"/>
        <v/>
      </c>
      <c r="I1811" s="394" t="str">
        <f t="shared" si="126"/>
        <v/>
      </c>
      <c r="J1811" s="394" t="str">
        <f t="shared" si="127"/>
        <v/>
      </c>
      <c r="K1811" s="394" t="str">
        <f t="shared" si="128"/>
        <v/>
      </c>
    </row>
    <row r="1812" spans="8:11" x14ac:dyDescent="0.25">
      <c r="H1812" s="394" t="str">
        <f t="shared" si="125"/>
        <v/>
      </c>
      <c r="I1812" s="394" t="str">
        <f t="shared" si="126"/>
        <v/>
      </c>
      <c r="J1812" s="394" t="str">
        <f t="shared" si="127"/>
        <v/>
      </c>
      <c r="K1812" s="394" t="str">
        <f t="shared" si="128"/>
        <v/>
      </c>
    </row>
    <row r="1813" spans="8:11" x14ac:dyDescent="0.25">
      <c r="H1813" s="394" t="str">
        <f t="shared" si="125"/>
        <v/>
      </c>
      <c r="I1813" s="394" t="str">
        <f t="shared" si="126"/>
        <v/>
      </c>
      <c r="J1813" s="394" t="str">
        <f t="shared" si="127"/>
        <v/>
      </c>
      <c r="K1813" s="394" t="str">
        <f t="shared" si="128"/>
        <v/>
      </c>
    </row>
    <row r="1814" spans="8:11" x14ac:dyDescent="0.25">
      <c r="H1814" s="394" t="str">
        <f t="shared" si="125"/>
        <v/>
      </c>
      <c r="I1814" s="394" t="str">
        <f t="shared" si="126"/>
        <v/>
      </c>
      <c r="J1814" s="394" t="str">
        <f t="shared" si="127"/>
        <v/>
      </c>
      <c r="K1814" s="394" t="str">
        <f t="shared" si="128"/>
        <v/>
      </c>
    </row>
    <row r="1815" spans="8:11" x14ac:dyDescent="0.25">
      <c r="H1815" s="394" t="str">
        <f t="shared" si="125"/>
        <v/>
      </c>
      <c r="I1815" s="394" t="str">
        <f t="shared" si="126"/>
        <v/>
      </c>
      <c r="J1815" s="394" t="str">
        <f t="shared" si="127"/>
        <v/>
      </c>
      <c r="K1815" s="394" t="str">
        <f t="shared" si="128"/>
        <v/>
      </c>
    </row>
    <row r="1816" spans="8:11" x14ac:dyDescent="0.25">
      <c r="H1816" s="394" t="str">
        <f t="shared" si="125"/>
        <v/>
      </c>
      <c r="I1816" s="394" t="str">
        <f t="shared" si="126"/>
        <v/>
      </c>
      <c r="J1816" s="394" t="str">
        <f t="shared" si="127"/>
        <v/>
      </c>
      <c r="K1816" s="394" t="str">
        <f t="shared" si="128"/>
        <v/>
      </c>
    </row>
    <row r="1817" spans="8:11" x14ac:dyDescent="0.25">
      <c r="H1817" s="394" t="str">
        <f t="shared" si="125"/>
        <v/>
      </c>
      <c r="I1817" s="394" t="str">
        <f t="shared" si="126"/>
        <v/>
      </c>
      <c r="J1817" s="394" t="str">
        <f t="shared" si="127"/>
        <v/>
      </c>
      <c r="K1817" s="394" t="str">
        <f t="shared" si="128"/>
        <v/>
      </c>
    </row>
    <row r="1818" spans="8:11" x14ac:dyDescent="0.25">
      <c r="H1818" s="394" t="str">
        <f t="shared" si="125"/>
        <v/>
      </c>
      <c r="I1818" s="394" t="str">
        <f t="shared" si="126"/>
        <v/>
      </c>
      <c r="J1818" s="394" t="str">
        <f t="shared" si="127"/>
        <v/>
      </c>
      <c r="K1818" s="394" t="str">
        <f t="shared" si="128"/>
        <v/>
      </c>
    </row>
    <row r="1819" spans="8:11" x14ac:dyDescent="0.25">
      <c r="H1819" s="394" t="str">
        <f t="shared" si="125"/>
        <v/>
      </c>
      <c r="I1819" s="394" t="str">
        <f t="shared" si="126"/>
        <v/>
      </c>
      <c r="J1819" s="394" t="str">
        <f t="shared" si="127"/>
        <v/>
      </c>
      <c r="K1819" s="394" t="str">
        <f t="shared" si="128"/>
        <v/>
      </c>
    </row>
    <row r="1820" spans="8:11" x14ac:dyDescent="0.25">
      <c r="H1820" s="394" t="str">
        <f t="shared" si="125"/>
        <v/>
      </c>
      <c r="I1820" s="394" t="str">
        <f t="shared" si="126"/>
        <v/>
      </c>
      <c r="J1820" s="394" t="str">
        <f t="shared" si="127"/>
        <v/>
      </c>
      <c r="K1820" s="394" t="str">
        <f t="shared" si="128"/>
        <v/>
      </c>
    </row>
    <row r="1821" spans="8:11" x14ac:dyDescent="0.25">
      <c r="H1821" s="394" t="str">
        <f t="shared" si="125"/>
        <v/>
      </c>
      <c r="I1821" s="394" t="str">
        <f t="shared" si="126"/>
        <v/>
      </c>
      <c r="J1821" s="394" t="str">
        <f t="shared" si="127"/>
        <v/>
      </c>
      <c r="K1821" s="394" t="str">
        <f t="shared" si="128"/>
        <v/>
      </c>
    </row>
    <row r="1822" spans="8:11" x14ac:dyDescent="0.25">
      <c r="H1822" s="394" t="str">
        <f t="shared" si="125"/>
        <v/>
      </c>
      <c r="I1822" s="394" t="str">
        <f t="shared" si="126"/>
        <v/>
      </c>
      <c r="J1822" s="394" t="str">
        <f t="shared" si="127"/>
        <v/>
      </c>
      <c r="K1822" s="394" t="str">
        <f t="shared" si="128"/>
        <v/>
      </c>
    </row>
    <row r="1823" spans="8:11" x14ac:dyDescent="0.25">
      <c r="H1823" s="394" t="str">
        <f t="shared" si="125"/>
        <v/>
      </c>
      <c r="I1823" s="394" t="str">
        <f t="shared" si="126"/>
        <v/>
      </c>
      <c r="J1823" s="394" t="str">
        <f t="shared" si="127"/>
        <v/>
      </c>
      <c r="K1823" s="394" t="str">
        <f t="shared" si="128"/>
        <v/>
      </c>
    </row>
    <row r="1824" spans="8:11" x14ac:dyDescent="0.25">
      <c r="H1824" s="394" t="str">
        <f t="shared" si="125"/>
        <v/>
      </c>
      <c r="I1824" s="394" t="str">
        <f t="shared" si="126"/>
        <v/>
      </c>
      <c r="J1824" s="394" t="str">
        <f t="shared" si="127"/>
        <v/>
      </c>
      <c r="K1824" s="394" t="str">
        <f t="shared" si="128"/>
        <v/>
      </c>
    </row>
    <row r="1825" spans="8:11" x14ac:dyDescent="0.25">
      <c r="H1825" s="394" t="str">
        <f t="shared" si="125"/>
        <v/>
      </c>
      <c r="I1825" s="394" t="str">
        <f t="shared" si="126"/>
        <v/>
      </c>
      <c r="J1825" s="394" t="str">
        <f t="shared" si="127"/>
        <v/>
      </c>
      <c r="K1825" s="394" t="str">
        <f t="shared" si="128"/>
        <v/>
      </c>
    </row>
    <row r="1826" spans="8:11" x14ac:dyDescent="0.25">
      <c r="H1826" s="394" t="str">
        <f t="shared" si="125"/>
        <v/>
      </c>
      <c r="I1826" s="394" t="str">
        <f t="shared" si="126"/>
        <v/>
      </c>
      <c r="J1826" s="394" t="str">
        <f t="shared" si="127"/>
        <v/>
      </c>
      <c r="K1826" s="394" t="str">
        <f t="shared" si="128"/>
        <v/>
      </c>
    </row>
    <row r="1827" spans="8:11" x14ac:dyDescent="0.25">
      <c r="H1827" s="394" t="str">
        <f t="shared" si="125"/>
        <v/>
      </c>
      <c r="I1827" s="394" t="str">
        <f t="shared" si="126"/>
        <v/>
      </c>
      <c r="J1827" s="394" t="str">
        <f t="shared" si="127"/>
        <v/>
      </c>
      <c r="K1827" s="394" t="str">
        <f t="shared" si="128"/>
        <v/>
      </c>
    </row>
    <row r="1828" spans="8:11" x14ac:dyDescent="0.25">
      <c r="H1828" s="394" t="str">
        <f t="shared" si="125"/>
        <v/>
      </c>
      <c r="I1828" s="394" t="str">
        <f t="shared" si="126"/>
        <v/>
      </c>
      <c r="J1828" s="394" t="str">
        <f t="shared" si="127"/>
        <v/>
      </c>
      <c r="K1828" s="394" t="str">
        <f t="shared" si="128"/>
        <v/>
      </c>
    </row>
    <row r="1829" spans="8:11" x14ac:dyDescent="0.25">
      <c r="H1829" s="394" t="str">
        <f t="shared" si="125"/>
        <v/>
      </c>
      <c r="I1829" s="394" t="str">
        <f t="shared" si="126"/>
        <v/>
      </c>
      <c r="J1829" s="394" t="str">
        <f t="shared" si="127"/>
        <v/>
      </c>
      <c r="K1829" s="394" t="str">
        <f t="shared" si="128"/>
        <v/>
      </c>
    </row>
    <row r="1830" spans="8:11" x14ac:dyDescent="0.25">
      <c r="H1830" s="394" t="str">
        <f t="shared" si="125"/>
        <v/>
      </c>
      <c r="I1830" s="394" t="str">
        <f t="shared" si="126"/>
        <v/>
      </c>
      <c r="J1830" s="394" t="str">
        <f t="shared" si="127"/>
        <v/>
      </c>
      <c r="K1830" s="394" t="str">
        <f t="shared" si="128"/>
        <v/>
      </c>
    </row>
    <row r="1831" spans="8:11" x14ac:dyDescent="0.25">
      <c r="H1831" s="394" t="str">
        <f t="shared" si="125"/>
        <v/>
      </c>
      <c r="I1831" s="394" t="str">
        <f t="shared" si="126"/>
        <v/>
      </c>
      <c r="J1831" s="394" t="str">
        <f t="shared" si="127"/>
        <v/>
      </c>
      <c r="K1831" s="394" t="str">
        <f t="shared" si="128"/>
        <v/>
      </c>
    </row>
    <row r="1832" spans="8:11" x14ac:dyDescent="0.25">
      <c r="H1832" s="394" t="str">
        <f t="shared" si="125"/>
        <v/>
      </c>
      <c r="I1832" s="394" t="str">
        <f t="shared" si="126"/>
        <v/>
      </c>
      <c r="J1832" s="394" t="str">
        <f t="shared" si="127"/>
        <v/>
      </c>
      <c r="K1832" s="394" t="str">
        <f t="shared" si="128"/>
        <v/>
      </c>
    </row>
    <row r="1833" spans="8:11" x14ac:dyDescent="0.25">
      <c r="H1833" s="394" t="str">
        <f t="shared" ref="H1833:H1896" si="129">IF($C855="","",ROUND(($B$2*$F855*($B$5/1000))/$B$6,2))</f>
        <v/>
      </c>
      <c r="I1833" s="394" t="str">
        <f t="shared" ref="I1833:I1896" si="130">IF($C855="","",ROUND(($B$3*$F855*($B$5/1000))/$B$6,2))</f>
        <v/>
      </c>
      <c r="J1833" s="394" t="str">
        <f t="shared" ref="J1833:J1896" si="131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32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29"/>
        <v/>
      </c>
      <c r="I1834" s="394" t="str">
        <f t="shared" si="130"/>
        <v/>
      </c>
      <c r="J1834" s="394" t="str">
        <f t="shared" si="131"/>
        <v/>
      </c>
      <c r="K1834" s="394" t="str">
        <f t="shared" si="132"/>
        <v/>
      </c>
    </row>
    <row r="1835" spans="8:11" x14ac:dyDescent="0.25">
      <c r="H1835" s="394" t="str">
        <f t="shared" si="129"/>
        <v/>
      </c>
      <c r="I1835" s="394" t="str">
        <f t="shared" si="130"/>
        <v/>
      </c>
      <c r="J1835" s="394" t="str">
        <f t="shared" si="131"/>
        <v/>
      </c>
      <c r="K1835" s="394" t="str">
        <f t="shared" si="132"/>
        <v/>
      </c>
    </row>
    <row r="1836" spans="8:11" x14ac:dyDescent="0.25">
      <c r="H1836" s="394" t="str">
        <f t="shared" si="129"/>
        <v/>
      </c>
      <c r="I1836" s="394" t="str">
        <f t="shared" si="130"/>
        <v/>
      </c>
      <c r="J1836" s="394" t="str">
        <f t="shared" si="131"/>
        <v/>
      </c>
      <c r="K1836" s="394" t="str">
        <f t="shared" si="132"/>
        <v/>
      </c>
    </row>
    <row r="1837" spans="8:11" x14ac:dyDescent="0.25">
      <c r="H1837" s="394" t="str">
        <f t="shared" si="129"/>
        <v/>
      </c>
      <c r="I1837" s="394" t="str">
        <f t="shared" si="130"/>
        <v/>
      </c>
      <c r="J1837" s="394" t="str">
        <f t="shared" si="131"/>
        <v/>
      </c>
      <c r="K1837" s="394" t="str">
        <f t="shared" si="132"/>
        <v/>
      </c>
    </row>
    <row r="1838" spans="8:11" x14ac:dyDescent="0.25">
      <c r="H1838" s="394" t="str">
        <f t="shared" si="129"/>
        <v/>
      </c>
      <c r="I1838" s="394" t="str">
        <f t="shared" si="130"/>
        <v/>
      </c>
      <c r="J1838" s="394" t="str">
        <f t="shared" si="131"/>
        <v/>
      </c>
      <c r="K1838" s="394" t="str">
        <f t="shared" si="132"/>
        <v/>
      </c>
    </row>
    <row r="1839" spans="8:11" x14ac:dyDescent="0.25">
      <c r="H1839" s="394" t="str">
        <f t="shared" si="129"/>
        <v/>
      </c>
      <c r="I1839" s="394" t="str">
        <f t="shared" si="130"/>
        <v/>
      </c>
      <c r="J1839" s="394" t="str">
        <f t="shared" si="131"/>
        <v/>
      </c>
      <c r="K1839" s="394" t="str">
        <f t="shared" si="132"/>
        <v/>
      </c>
    </row>
    <row r="1840" spans="8:11" x14ac:dyDescent="0.25">
      <c r="H1840" s="394" t="str">
        <f t="shared" si="129"/>
        <v/>
      </c>
      <c r="I1840" s="394" t="str">
        <f t="shared" si="130"/>
        <v/>
      </c>
      <c r="J1840" s="394" t="str">
        <f t="shared" si="131"/>
        <v/>
      </c>
      <c r="K1840" s="394" t="str">
        <f t="shared" si="132"/>
        <v/>
      </c>
    </row>
    <row r="1841" spans="8:11" x14ac:dyDescent="0.25">
      <c r="H1841" s="394" t="str">
        <f t="shared" si="129"/>
        <v/>
      </c>
      <c r="I1841" s="394" t="str">
        <f t="shared" si="130"/>
        <v/>
      </c>
      <c r="J1841" s="394" t="str">
        <f t="shared" si="131"/>
        <v/>
      </c>
      <c r="K1841" s="394" t="str">
        <f t="shared" si="132"/>
        <v/>
      </c>
    </row>
    <row r="1842" spans="8:11" x14ac:dyDescent="0.25">
      <c r="H1842" s="394" t="str">
        <f t="shared" si="129"/>
        <v/>
      </c>
      <c r="I1842" s="394" t="str">
        <f t="shared" si="130"/>
        <v/>
      </c>
      <c r="J1842" s="394" t="str">
        <f t="shared" si="131"/>
        <v/>
      </c>
      <c r="K1842" s="394" t="str">
        <f t="shared" si="132"/>
        <v/>
      </c>
    </row>
    <row r="1843" spans="8:11" x14ac:dyDescent="0.25">
      <c r="H1843" s="394" t="str">
        <f t="shared" si="129"/>
        <v/>
      </c>
      <c r="I1843" s="394" t="str">
        <f t="shared" si="130"/>
        <v/>
      </c>
      <c r="J1843" s="394" t="str">
        <f t="shared" si="131"/>
        <v/>
      </c>
      <c r="K1843" s="394" t="str">
        <f t="shared" si="132"/>
        <v/>
      </c>
    </row>
    <row r="1844" spans="8:11" x14ac:dyDescent="0.25">
      <c r="H1844" s="394" t="str">
        <f t="shared" si="129"/>
        <v/>
      </c>
      <c r="I1844" s="394" t="str">
        <f t="shared" si="130"/>
        <v/>
      </c>
      <c r="J1844" s="394" t="str">
        <f t="shared" si="131"/>
        <v/>
      </c>
      <c r="K1844" s="394" t="str">
        <f t="shared" si="132"/>
        <v/>
      </c>
    </row>
    <row r="1845" spans="8:11" x14ac:dyDescent="0.25">
      <c r="H1845" s="394" t="str">
        <f t="shared" si="129"/>
        <v/>
      </c>
      <c r="I1845" s="394" t="str">
        <f t="shared" si="130"/>
        <v/>
      </c>
      <c r="J1845" s="394" t="str">
        <f t="shared" si="131"/>
        <v/>
      </c>
      <c r="K1845" s="394" t="str">
        <f t="shared" si="132"/>
        <v/>
      </c>
    </row>
    <row r="1846" spans="8:11" x14ac:dyDescent="0.25">
      <c r="H1846" s="394" t="str">
        <f t="shared" si="129"/>
        <v/>
      </c>
      <c r="I1846" s="394" t="str">
        <f t="shared" si="130"/>
        <v/>
      </c>
      <c r="J1846" s="394" t="str">
        <f t="shared" si="131"/>
        <v/>
      </c>
      <c r="K1846" s="394" t="str">
        <f t="shared" si="132"/>
        <v/>
      </c>
    </row>
    <row r="1847" spans="8:11" x14ac:dyDescent="0.25">
      <c r="H1847" s="394" t="str">
        <f t="shared" si="129"/>
        <v/>
      </c>
      <c r="I1847" s="394" t="str">
        <f t="shared" si="130"/>
        <v/>
      </c>
      <c r="J1847" s="394" t="str">
        <f t="shared" si="131"/>
        <v/>
      </c>
      <c r="K1847" s="394" t="str">
        <f t="shared" si="132"/>
        <v/>
      </c>
    </row>
    <row r="1848" spans="8:11" x14ac:dyDescent="0.25">
      <c r="H1848" s="394" t="str">
        <f t="shared" si="129"/>
        <v/>
      </c>
      <c r="I1848" s="394" t="str">
        <f t="shared" si="130"/>
        <v/>
      </c>
      <c r="J1848" s="394" t="str">
        <f t="shared" si="131"/>
        <v/>
      </c>
      <c r="K1848" s="394" t="str">
        <f t="shared" si="132"/>
        <v/>
      </c>
    </row>
    <row r="1849" spans="8:11" x14ac:dyDescent="0.25">
      <c r="H1849" s="394" t="str">
        <f t="shared" si="129"/>
        <v/>
      </c>
      <c r="I1849" s="394" t="str">
        <f t="shared" si="130"/>
        <v/>
      </c>
      <c r="J1849" s="394" t="str">
        <f t="shared" si="131"/>
        <v/>
      </c>
      <c r="K1849" s="394" t="str">
        <f t="shared" si="132"/>
        <v/>
      </c>
    </row>
    <row r="1850" spans="8:11" x14ac:dyDescent="0.25">
      <c r="H1850" s="394" t="str">
        <f t="shared" si="129"/>
        <v/>
      </c>
      <c r="I1850" s="394" t="str">
        <f t="shared" si="130"/>
        <v/>
      </c>
      <c r="J1850" s="394" t="str">
        <f t="shared" si="131"/>
        <v/>
      </c>
      <c r="K1850" s="394" t="str">
        <f t="shared" si="132"/>
        <v/>
      </c>
    </row>
    <row r="1851" spans="8:11" x14ac:dyDescent="0.25">
      <c r="H1851" s="394" t="str">
        <f t="shared" si="129"/>
        <v/>
      </c>
      <c r="I1851" s="394" t="str">
        <f t="shared" si="130"/>
        <v/>
      </c>
      <c r="J1851" s="394" t="str">
        <f t="shared" si="131"/>
        <v/>
      </c>
      <c r="K1851" s="394" t="str">
        <f t="shared" si="132"/>
        <v/>
      </c>
    </row>
    <row r="1852" spans="8:11" x14ac:dyDescent="0.25">
      <c r="H1852" s="394" t="str">
        <f t="shared" si="129"/>
        <v/>
      </c>
      <c r="I1852" s="394" t="str">
        <f t="shared" si="130"/>
        <v/>
      </c>
      <c r="J1852" s="394" t="str">
        <f t="shared" si="131"/>
        <v/>
      </c>
      <c r="K1852" s="394" t="str">
        <f t="shared" si="132"/>
        <v/>
      </c>
    </row>
    <row r="1853" spans="8:11" x14ac:dyDescent="0.25">
      <c r="H1853" s="394" t="str">
        <f t="shared" si="129"/>
        <v/>
      </c>
      <c r="I1853" s="394" t="str">
        <f t="shared" si="130"/>
        <v/>
      </c>
      <c r="J1853" s="394" t="str">
        <f t="shared" si="131"/>
        <v/>
      </c>
      <c r="K1853" s="394" t="str">
        <f t="shared" si="132"/>
        <v/>
      </c>
    </row>
    <row r="1854" spans="8:11" x14ac:dyDescent="0.25">
      <c r="H1854" s="394" t="str">
        <f t="shared" si="129"/>
        <v/>
      </c>
      <c r="I1854" s="394" t="str">
        <f t="shared" si="130"/>
        <v/>
      </c>
      <c r="J1854" s="394" t="str">
        <f t="shared" si="131"/>
        <v/>
      </c>
      <c r="K1854" s="394" t="str">
        <f t="shared" si="132"/>
        <v/>
      </c>
    </row>
    <row r="1855" spans="8:11" x14ac:dyDescent="0.25">
      <c r="H1855" s="394" t="str">
        <f t="shared" si="129"/>
        <v/>
      </c>
      <c r="I1855" s="394" t="str">
        <f t="shared" si="130"/>
        <v/>
      </c>
      <c r="J1855" s="394" t="str">
        <f t="shared" si="131"/>
        <v/>
      </c>
      <c r="K1855" s="394" t="str">
        <f t="shared" si="132"/>
        <v/>
      </c>
    </row>
    <row r="1856" spans="8:11" x14ac:dyDescent="0.25">
      <c r="H1856" s="394" t="str">
        <f t="shared" si="129"/>
        <v/>
      </c>
      <c r="I1856" s="394" t="str">
        <f t="shared" si="130"/>
        <v/>
      </c>
      <c r="J1856" s="394" t="str">
        <f t="shared" si="131"/>
        <v/>
      </c>
      <c r="K1856" s="394" t="str">
        <f t="shared" si="132"/>
        <v/>
      </c>
    </row>
    <row r="1857" spans="8:11" x14ac:dyDescent="0.25">
      <c r="H1857" s="394" t="str">
        <f t="shared" si="129"/>
        <v/>
      </c>
      <c r="I1857" s="394" t="str">
        <f t="shared" si="130"/>
        <v/>
      </c>
      <c r="J1857" s="394" t="str">
        <f t="shared" si="131"/>
        <v/>
      </c>
      <c r="K1857" s="394" t="str">
        <f t="shared" si="132"/>
        <v/>
      </c>
    </row>
    <row r="1858" spans="8:11" x14ac:dyDescent="0.25">
      <c r="H1858" s="394" t="str">
        <f t="shared" si="129"/>
        <v/>
      </c>
      <c r="I1858" s="394" t="str">
        <f t="shared" si="130"/>
        <v/>
      </c>
      <c r="J1858" s="394" t="str">
        <f t="shared" si="131"/>
        <v/>
      </c>
      <c r="K1858" s="394" t="str">
        <f t="shared" si="132"/>
        <v/>
      </c>
    </row>
    <row r="1859" spans="8:11" x14ac:dyDescent="0.25">
      <c r="H1859" s="394" t="str">
        <f t="shared" si="129"/>
        <v/>
      </c>
      <c r="I1859" s="394" t="str">
        <f t="shared" si="130"/>
        <v/>
      </c>
      <c r="J1859" s="394" t="str">
        <f t="shared" si="131"/>
        <v/>
      </c>
      <c r="K1859" s="394" t="str">
        <f t="shared" si="132"/>
        <v/>
      </c>
    </row>
    <row r="1860" spans="8:11" x14ac:dyDescent="0.25">
      <c r="H1860" s="394" t="str">
        <f t="shared" si="129"/>
        <v/>
      </c>
      <c r="I1860" s="394" t="str">
        <f t="shared" si="130"/>
        <v/>
      </c>
      <c r="J1860" s="394" t="str">
        <f t="shared" si="131"/>
        <v/>
      </c>
      <c r="K1860" s="394" t="str">
        <f t="shared" si="132"/>
        <v/>
      </c>
    </row>
    <row r="1861" spans="8:11" x14ac:dyDescent="0.25">
      <c r="H1861" s="394" t="str">
        <f t="shared" si="129"/>
        <v/>
      </c>
      <c r="I1861" s="394" t="str">
        <f t="shared" si="130"/>
        <v/>
      </c>
      <c r="J1861" s="394" t="str">
        <f t="shared" si="131"/>
        <v/>
      </c>
      <c r="K1861" s="394" t="str">
        <f t="shared" si="132"/>
        <v/>
      </c>
    </row>
    <row r="1862" spans="8:11" x14ac:dyDescent="0.25">
      <c r="H1862" s="394" t="str">
        <f t="shared" si="129"/>
        <v/>
      </c>
      <c r="I1862" s="394" t="str">
        <f t="shared" si="130"/>
        <v/>
      </c>
      <c r="J1862" s="394" t="str">
        <f t="shared" si="131"/>
        <v/>
      </c>
      <c r="K1862" s="394" t="str">
        <f t="shared" si="132"/>
        <v/>
      </c>
    </row>
    <row r="1863" spans="8:11" x14ac:dyDescent="0.25">
      <c r="H1863" s="394" t="str">
        <f t="shared" si="129"/>
        <v/>
      </c>
      <c r="I1863" s="394" t="str">
        <f t="shared" si="130"/>
        <v/>
      </c>
      <c r="J1863" s="394" t="str">
        <f t="shared" si="131"/>
        <v/>
      </c>
      <c r="K1863" s="394" t="str">
        <f t="shared" si="132"/>
        <v/>
      </c>
    </row>
    <row r="1864" spans="8:11" x14ac:dyDescent="0.25">
      <c r="H1864" s="394" t="str">
        <f t="shared" si="129"/>
        <v/>
      </c>
      <c r="I1864" s="394" t="str">
        <f t="shared" si="130"/>
        <v/>
      </c>
      <c r="J1864" s="394" t="str">
        <f t="shared" si="131"/>
        <v/>
      </c>
      <c r="K1864" s="394" t="str">
        <f t="shared" si="132"/>
        <v/>
      </c>
    </row>
    <row r="1865" spans="8:11" x14ac:dyDescent="0.25">
      <c r="H1865" s="394" t="str">
        <f t="shared" si="129"/>
        <v/>
      </c>
      <c r="I1865" s="394" t="str">
        <f t="shared" si="130"/>
        <v/>
      </c>
      <c r="J1865" s="394" t="str">
        <f t="shared" si="131"/>
        <v/>
      </c>
      <c r="K1865" s="394" t="str">
        <f t="shared" si="132"/>
        <v/>
      </c>
    </row>
    <row r="1866" spans="8:11" x14ac:dyDescent="0.25">
      <c r="H1866" s="394" t="str">
        <f t="shared" si="129"/>
        <v/>
      </c>
      <c r="I1866" s="394" t="str">
        <f t="shared" si="130"/>
        <v/>
      </c>
      <c r="J1866" s="394" t="str">
        <f t="shared" si="131"/>
        <v/>
      </c>
      <c r="K1866" s="394" t="str">
        <f t="shared" si="132"/>
        <v/>
      </c>
    </row>
    <row r="1867" spans="8:11" x14ac:dyDescent="0.25">
      <c r="H1867" s="394" t="str">
        <f t="shared" si="129"/>
        <v/>
      </c>
      <c r="I1867" s="394" t="str">
        <f t="shared" si="130"/>
        <v/>
      </c>
      <c r="J1867" s="394" t="str">
        <f t="shared" si="131"/>
        <v/>
      </c>
      <c r="K1867" s="394" t="str">
        <f t="shared" si="132"/>
        <v/>
      </c>
    </row>
    <row r="1868" spans="8:11" x14ac:dyDescent="0.25">
      <c r="H1868" s="394" t="str">
        <f t="shared" si="129"/>
        <v/>
      </c>
      <c r="I1868" s="394" t="str">
        <f t="shared" si="130"/>
        <v/>
      </c>
      <c r="J1868" s="394" t="str">
        <f t="shared" si="131"/>
        <v/>
      </c>
      <c r="K1868" s="394" t="str">
        <f t="shared" si="132"/>
        <v/>
      </c>
    </row>
    <row r="1869" spans="8:11" x14ac:dyDescent="0.25">
      <c r="H1869" s="394" t="str">
        <f t="shared" si="129"/>
        <v/>
      </c>
      <c r="I1869" s="394" t="str">
        <f t="shared" si="130"/>
        <v/>
      </c>
      <c r="J1869" s="394" t="str">
        <f t="shared" si="131"/>
        <v/>
      </c>
      <c r="K1869" s="394" t="str">
        <f t="shared" si="132"/>
        <v/>
      </c>
    </row>
    <row r="1870" spans="8:11" x14ac:dyDescent="0.25">
      <c r="H1870" s="394" t="str">
        <f t="shared" si="129"/>
        <v/>
      </c>
      <c r="I1870" s="394" t="str">
        <f t="shared" si="130"/>
        <v/>
      </c>
      <c r="J1870" s="394" t="str">
        <f t="shared" si="131"/>
        <v/>
      </c>
      <c r="K1870" s="394" t="str">
        <f t="shared" si="132"/>
        <v/>
      </c>
    </row>
    <row r="1871" spans="8:11" x14ac:dyDescent="0.25">
      <c r="H1871" s="394" t="str">
        <f t="shared" si="129"/>
        <v/>
      </c>
      <c r="I1871" s="394" t="str">
        <f t="shared" si="130"/>
        <v/>
      </c>
      <c r="J1871" s="394" t="str">
        <f t="shared" si="131"/>
        <v/>
      </c>
      <c r="K1871" s="394" t="str">
        <f t="shared" si="132"/>
        <v/>
      </c>
    </row>
    <row r="1872" spans="8:11" x14ac:dyDescent="0.25">
      <c r="H1872" s="394" t="str">
        <f t="shared" si="129"/>
        <v/>
      </c>
      <c r="I1872" s="394" t="str">
        <f t="shared" si="130"/>
        <v/>
      </c>
      <c r="J1872" s="394" t="str">
        <f t="shared" si="131"/>
        <v/>
      </c>
      <c r="K1872" s="394" t="str">
        <f t="shared" si="132"/>
        <v/>
      </c>
    </row>
    <row r="1873" spans="8:11" x14ac:dyDescent="0.25">
      <c r="H1873" s="394" t="str">
        <f t="shared" si="129"/>
        <v/>
      </c>
      <c r="I1873" s="394" t="str">
        <f t="shared" si="130"/>
        <v/>
      </c>
      <c r="J1873" s="394" t="str">
        <f t="shared" si="131"/>
        <v/>
      </c>
      <c r="K1873" s="394" t="str">
        <f t="shared" si="132"/>
        <v/>
      </c>
    </row>
    <row r="1874" spans="8:11" x14ac:dyDescent="0.25">
      <c r="H1874" s="394" t="str">
        <f t="shared" si="129"/>
        <v/>
      </c>
      <c r="I1874" s="394" t="str">
        <f t="shared" si="130"/>
        <v/>
      </c>
      <c r="J1874" s="394" t="str">
        <f t="shared" si="131"/>
        <v/>
      </c>
      <c r="K1874" s="394" t="str">
        <f t="shared" si="132"/>
        <v/>
      </c>
    </row>
    <row r="1875" spans="8:11" x14ac:dyDescent="0.25">
      <c r="H1875" s="394" t="str">
        <f t="shared" si="129"/>
        <v/>
      </c>
      <c r="I1875" s="394" t="str">
        <f t="shared" si="130"/>
        <v/>
      </c>
      <c r="J1875" s="394" t="str">
        <f t="shared" si="131"/>
        <v/>
      </c>
      <c r="K1875" s="394" t="str">
        <f t="shared" si="132"/>
        <v/>
      </c>
    </row>
    <row r="1876" spans="8:11" x14ac:dyDescent="0.25">
      <c r="H1876" s="394" t="str">
        <f t="shared" si="129"/>
        <v/>
      </c>
      <c r="I1876" s="394" t="str">
        <f t="shared" si="130"/>
        <v/>
      </c>
      <c r="J1876" s="394" t="str">
        <f t="shared" si="131"/>
        <v/>
      </c>
      <c r="K1876" s="394" t="str">
        <f t="shared" si="132"/>
        <v/>
      </c>
    </row>
    <row r="1877" spans="8:11" x14ac:dyDescent="0.25">
      <c r="H1877" s="394" t="str">
        <f t="shared" si="129"/>
        <v/>
      </c>
      <c r="I1877" s="394" t="str">
        <f t="shared" si="130"/>
        <v/>
      </c>
      <c r="J1877" s="394" t="str">
        <f t="shared" si="131"/>
        <v/>
      </c>
      <c r="K1877" s="394" t="str">
        <f t="shared" si="132"/>
        <v/>
      </c>
    </row>
    <row r="1878" spans="8:11" x14ac:dyDescent="0.25">
      <c r="H1878" s="394" t="str">
        <f t="shared" si="129"/>
        <v/>
      </c>
      <c r="I1878" s="394" t="str">
        <f t="shared" si="130"/>
        <v/>
      </c>
      <c r="J1878" s="394" t="str">
        <f t="shared" si="131"/>
        <v/>
      </c>
      <c r="K1878" s="394" t="str">
        <f t="shared" si="132"/>
        <v/>
      </c>
    </row>
    <row r="1879" spans="8:11" x14ac:dyDescent="0.25">
      <c r="H1879" s="394" t="str">
        <f t="shared" si="129"/>
        <v/>
      </c>
      <c r="I1879" s="394" t="str">
        <f t="shared" si="130"/>
        <v/>
      </c>
      <c r="J1879" s="394" t="str">
        <f t="shared" si="131"/>
        <v/>
      </c>
      <c r="K1879" s="394" t="str">
        <f t="shared" si="132"/>
        <v/>
      </c>
    </row>
    <row r="1880" spans="8:11" x14ac:dyDescent="0.25">
      <c r="H1880" s="394" t="str">
        <f t="shared" si="129"/>
        <v/>
      </c>
      <c r="I1880" s="394" t="str">
        <f t="shared" si="130"/>
        <v/>
      </c>
      <c r="J1880" s="394" t="str">
        <f t="shared" si="131"/>
        <v/>
      </c>
      <c r="K1880" s="394" t="str">
        <f t="shared" si="132"/>
        <v/>
      </c>
    </row>
    <row r="1881" spans="8:11" x14ac:dyDescent="0.25">
      <c r="H1881" s="394" t="str">
        <f t="shared" si="129"/>
        <v/>
      </c>
      <c r="I1881" s="394" t="str">
        <f t="shared" si="130"/>
        <v/>
      </c>
      <c r="J1881" s="394" t="str">
        <f t="shared" si="131"/>
        <v/>
      </c>
      <c r="K1881" s="394" t="str">
        <f t="shared" si="132"/>
        <v/>
      </c>
    </row>
    <row r="1882" spans="8:11" x14ac:dyDescent="0.25">
      <c r="H1882" s="394" t="str">
        <f t="shared" si="129"/>
        <v/>
      </c>
      <c r="I1882" s="394" t="str">
        <f t="shared" si="130"/>
        <v/>
      </c>
      <c r="J1882" s="394" t="str">
        <f t="shared" si="131"/>
        <v/>
      </c>
      <c r="K1882" s="394" t="str">
        <f t="shared" si="132"/>
        <v/>
      </c>
    </row>
    <row r="1883" spans="8:11" x14ac:dyDescent="0.25">
      <c r="H1883" s="394" t="str">
        <f t="shared" si="129"/>
        <v/>
      </c>
      <c r="I1883" s="394" t="str">
        <f t="shared" si="130"/>
        <v/>
      </c>
      <c r="J1883" s="394" t="str">
        <f t="shared" si="131"/>
        <v/>
      </c>
      <c r="K1883" s="394" t="str">
        <f t="shared" si="132"/>
        <v/>
      </c>
    </row>
    <row r="1884" spans="8:11" x14ac:dyDescent="0.25">
      <c r="H1884" s="394" t="str">
        <f t="shared" si="129"/>
        <v/>
      </c>
      <c r="I1884" s="394" t="str">
        <f t="shared" si="130"/>
        <v/>
      </c>
      <c r="J1884" s="394" t="str">
        <f t="shared" si="131"/>
        <v/>
      </c>
      <c r="K1884" s="394" t="str">
        <f t="shared" si="132"/>
        <v/>
      </c>
    </row>
    <row r="1885" spans="8:11" x14ac:dyDescent="0.25">
      <c r="H1885" s="394" t="str">
        <f t="shared" si="129"/>
        <v/>
      </c>
      <c r="I1885" s="394" t="str">
        <f t="shared" si="130"/>
        <v/>
      </c>
      <c r="J1885" s="394" t="str">
        <f t="shared" si="131"/>
        <v/>
      </c>
      <c r="K1885" s="394" t="str">
        <f t="shared" si="132"/>
        <v/>
      </c>
    </row>
    <row r="1886" spans="8:11" x14ac:dyDescent="0.25">
      <c r="H1886" s="394" t="str">
        <f t="shared" si="129"/>
        <v/>
      </c>
      <c r="I1886" s="394" t="str">
        <f t="shared" si="130"/>
        <v/>
      </c>
      <c r="J1886" s="394" t="str">
        <f t="shared" si="131"/>
        <v/>
      </c>
      <c r="K1886" s="394" t="str">
        <f t="shared" si="132"/>
        <v/>
      </c>
    </row>
    <row r="1887" spans="8:11" x14ac:dyDescent="0.25">
      <c r="H1887" s="394" t="str">
        <f t="shared" si="129"/>
        <v/>
      </c>
      <c r="I1887" s="394" t="str">
        <f t="shared" si="130"/>
        <v/>
      </c>
      <c r="J1887" s="394" t="str">
        <f t="shared" si="131"/>
        <v/>
      </c>
      <c r="K1887" s="394" t="str">
        <f t="shared" si="132"/>
        <v/>
      </c>
    </row>
    <row r="1888" spans="8:11" x14ac:dyDescent="0.25">
      <c r="H1888" s="394" t="str">
        <f t="shared" si="129"/>
        <v/>
      </c>
      <c r="I1888" s="394" t="str">
        <f t="shared" si="130"/>
        <v/>
      </c>
      <c r="J1888" s="394" t="str">
        <f t="shared" si="131"/>
        <v/>
      </c>
      <c r="K1888" s="394" t="str">
        <f t="shared" si="132"/>
        <v/>
      </c>
    </row>
    <row r="1889" spans="8:11" x14ac:dyDescent="0.25">
      <c r="H1889" s="394" t="str">
        <f t="shared" si="129"/>
        <v/>
      </c>
      <c r="I1889" s="394" t="str">
        <f t="shared" si="130"/>
        <v/>
      </c>
      <c r="J1889" s="394" t="str">
        <f t="shared" si="131"/>
        <v/>
      </c>
      <c r="K1889" s="394" t="str">
        <f t="shared" si="132"/>
        <v/>
      </c>
    </row>
    <row r="1890" spans="8:11" x14ac:dyDescent="0.25">
      <c r="H1890" s="394" t="str">
        <f t="shared" si="129"/>
        <v/>
      </c>
      <c r="I1890" s="394" t="str">
        <f t="shared" si="130"/>
        <v/>
      </c>
      <c r="J1890" s="394" t="str">
        <f t="shared" si="131"/>
        <v/>
      </c>
      <c r="K1890" s="394" t="str">
        <f t="shared" si="132"/>
        <v/>
      </c>
    </row>
    <row r="1891" spans="8:11" x14ac:dyDescent="0.25">
      <c r="H1891" s="394" t="str">
        <f t="shared" si="129"/>
        <v/>
      </c>
      <c r="I1891" s="394" t="str">
        <f t="shared" si="130"/>
        <v/>
      </c>
      <c r="J1891" s="394" t="str">
        <f t="shared" si="131"/>
        <v/>
      </c>
      <c r="K1891" s="394" t="str">
        <f t="shared" si="132"/>
        <v/>
      </c>
    </row>
    <row r="1892" spans="8:11" x14ac:dyDescent="0.25">
      <c r="H1892" s="394" t="str">
        <f t="shared" si="129"/>
        <v/>
      </c>
      <c r="I1892" s="394" t="str">
        <f t="shared" si="130"/>
        <v/>
      </c>
      <c r="J1892" s="394" t="str">
        <f t="shared" si="131"/>
        <v/>
      </c>
      <c r="K1892" s="394" t="str">
        <f t="shared" si="132"/>
        <v/>
      </c>
    </row>
    <row r="1893" spans="8:11" x14ac:dyDescent="0.25">
      <c r="H1893" s="394" t="str">
        <f t="shared" si="129"/>
        <v/>
      </c>
      <c r="I1893" s="394" t="str">
        <f t="shared" si="130"/>
        <v/>
      </c>
      <c r="J1893" s="394" t="str">
        <f t="shared" si="131"/>
        <v/>
      </c>
      <c r="K1893" s="394" t="str">
        <f t="shared" si="132"/>
        <v/>
      </c>
    </row>
    <row r="1894" spans="8:11" x14ac:dyDescent="0.25">
      <c r="H1894" s="394" t="str">
        <f t="shared" si="129"/>
        <v/>
      </c>
      <c r="I1894" s="394" t="str">
        <f t="shared" si="130"/>
        <v/>
      </c>
      <c r="J1894" s="394" t="str">
        <f t="shared" si="131"/>
        <v/>
      </c>
      <c r="K1894" s="394" t="str">
        <f t="shared" si="132"/>
        <v/>
      </c>
    </row>
    <row r="1895" spans="8:11" x14ac:dyDescent="0.25">
      <c r="H1895" s="394" t="str">
        <f t="shared" si="129"/>
        <v/>
      </c>
      <c r="I1895" s="394" t="str">
        <f t="shared" si="130"/>
        <v/>
      </c>
      <c r="J1895" s="394" t="str">
        <f t="shared" si="131"/>
        <v/>
      </c>
      <c r="K1895" s="394" t="str">
        <f t="shared" si="132"/>
        <v/>
      </c>
    </row>
    <row r="1896" spans="8:11" x14ac:dyDescent="0.25">
      <c r="H1896" s="394" t="str">
        <f t="shared" si="129"/>
        <v/>
      </c>
      <c r="I1896" s="394" t="str">
        <f t="shared" si="130"/>
        <v/>
      </c>
      <c r="J1896" s="394" t="str">
        <f t="shared" si="131"/>
        <v/>
      </c>
      <c r="K1896" s="394" t="str">
        <f t="shared" si="132"/>
        <v/>
      </c>
    </row>
    <row r="1897" spans="8:11" x14ac:dyDescent="0.25">
      <c r="H1897" s="394" t="str">
        <f t="shared" ref="H1897:H1960" si="133">IF($C919="","",ROUND(($B$2*$F919*($B$5/1000))/$B$6,2))</f>
        <v/>
      </c>
      <c r="I1897" s="394" t="str">
        <f t="shared" ref="I1897:I1960" si="134">IF($C919="","",ROUND(($B$3*$F919*($B$5/1000))/$B$6,2))</f>
        <v/>
      </c>
      <c r="J1897" s="394" t="str">
        <f t="shared" ref="J1897:J1960" si="135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6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33"/>
        <v/>
      </c>
      <c r="I1898" s="394" t="str">
        <f t="shared" si="134"/>
        <v/>
      </c>
      <c r="J1898" s="394" t="str">
        <f t="shared" si="135"/>
        <v/>
      </c>
      <c r="K1898" s="394" t="str">
        <f t="shared" si="136"/>
        <v/>
      </c>
    </row>
    <row r="1899" spans="8:11" x14ac:dyDescent="0.25">
      <c r="H1899" s="394" t="str">
        <f t="shared" si="133"/>
        <v/>
      </c>
      <c r="I1899" s="394" t="str">
        <f t="shared" si="134"/>
        <v/>
      </c>
      <c r="J1899" s="394" t="str">
        <f t="shared" si="135"/>
        <v/>
      </c>
      <c r="K1899" s="394" t="str">
        <f t="shared" si="136"/>
        <v/>
      </c>
    </row>
    <row r="1900" spans="8:11" x14ac:dyDescent="0.25">
      <c r="H1900" s="394" t="str">
        <f t="shared" si="133"/>
        <v/>
      </c>
      <c r="I1900" s="394" t="str">
        <f t="shared" si="134"/>
        <v/>
      </c>
      <c r="J1900" s="394" t="str">
        <f t="shared" si="135"/>
        <v/>
      </c>
      <c r="K1900" s="394" t="str">
        <f t="shared" si="136"/>
        <v/>
      </c>
    </row>
    <row r="1901" spans="8:11" x14ac:dyDescent="0.25">
      <c r="H1901" s="394" t="str">
        <f t="shared" si="133"/>
        <v/>
      </c>
      <c r="I1901" s="394" t="str">
        <f t="shared" si="134"/>
        <v/>
      </c>
      <c r="J1901" s="394" t="str">
        <f t="shared" si="135"/>
        <v/>
      </c>
      <c r="K1901" s="394" t="str">
        <f t="shared" si="136"/>
        <v/>
      </c>
    </row>
    <row r="1902" spans="8:11" x14ac:dyDescent="0.25">
      <c r="H1902" s="394" t="str">
        <f t="shared" si="133"/>
        <v/>
      </c>
      <c r="I1902" s="394" t="str">
        <f t="shared" si="134"/>
        <v/>
      </c>
      <c r="J1902" s="394" t="str">
        <f t="shared" si="135"/>
        <v/>
      </c>
      <c r="K1902" s="394" t="str">
        <f t="shared" si="136"/>
        <v/>
      </c>
    </row>
    <row r="1903" spans="8:11" x14ac:dyDescent="0.25">
      <c r="H1903" s="394" t="str">
        <f t="shared" si="133"/>
        <v/>
      </c>
      <c r="I1903" s="394" t="str">
        <f t="shared" si="134"/>
        <v/>
      </c>
      <c r="J1903" s="394" t="str">
        <f t="shared" si="135"/>
        <v/>
      </c>
      <c r="K1903" s="394" t="str">
        <f t="shared" si="136"/>
        <v/>
      </c>
    </row>
    <row r="1904" spans="8:11" x14ac:dyDescent="0.25">
      <c r="H1904" s="394" t="str">
        <f t="shared" si="133"/>
        <v/>
      </c>
      <c r="I1904" s="394" t="str">
        <f t="shared" si="134"/>
        <v/>
      </c>
      <c r="J1904" s="394" t="str">
        <f t="shared" si="135"/>
        <v/>
      </c>
      <c r="K1904" s="394" t="str">
        <f t="shared" si="136"/>
        <v/>
      </c>
    </row>
    <row r="1905" spans="8:11" x14ac:dyDescent="0.25">
      <c r="H1905" s="394" t="str">
        <f t="shared" si="133"/>
        <v/>
      </c>
      <c r="I1905" s="394" t="str">
        <f t="shared" si="134"/>
        <v/>
      </c>
      <c r="J1905" s="394" t="str">
        <f t="shared" si="135"/>
        <v/>
      </c>
      <c r="K1905" s="394" t="str">
        <f t="shared" si="136"/>
        <v/>
      </c>
    </row>
    <row r="1906" spans="8:11" x14ac:dyDescent="0.25">
      <c r="H1906" s="394" t="str">
        <f t="shared" si="133"/>
        <v/>
      </c>
      <c r="I1906" s="394" t="str">
        <f t="shared" si="134"/>
        <v/>
      </c>
      <c r="J1906" s="394" t="str">
        <f t="shared" si="135"/>
        <v/>
      </c>
      <c r="K1906" s="394" t="str">
        <f t="shared" si="136"/>
        <v/>
      </c>
    </row>
    <row r="1907" spans="8:11" x14ac:dyDescent="0.25">
      <c r="H1907" s="394" t="str">
        <f t="shared" si="133"/>
        <v/>
      </c>
      <c r="I1907" s="394" t="str">
        <f t="shared" si="134"/>
        <v/>
      </c>
      <c r="J1907" s="394" t="str">
        <f t="shared" si="135"/>
        <v/>
      </c>
      <c r="K1907" s="394" t="str">
        <f t="shared" si="136"/>
        <v/>
      </c>
    </row>
    <row r="1908" spans="8:11" x14ac:dyDescent="0.25">
      <c r="H1908" s="394" t="str">
        <f t="shared" si="133"/>
        <v/>
      </c>
      <c r="I1908" s="394" t="str">
        <f t="shared" si="134"/>
        <v/>
      </c>
      <c r="J1908" s="394" t="str">
        <f t="shared" si="135"/>
        <v/>
      </c>
      <c r="K1908" s="394" t="str">
        <f t="shared" si="136"/>
        <v/>
      </c>
    </row>
    <row r="1909" spans="8:11" x14ac:dyDescent="0.25">
      <c r="H1909" s="394" t="str">
        <f t="shared" si="133"/>
        <v/>
      </c>
      <c r="I1909" s="394" t="str">
        <f t="shared" si="134"/>
        <v/>
      </c>
      <c r="J1909" s="394" t="str">
        <f t="shared" si="135"/>
        <v/>
      </c>
      <c r="K1909" s="394" t="str">
        <f t="shared" si="136"/>
        <v/>
      </c>
    </row>
    <row r="1910" spans="8:11" x14ac:dyDescent="0.25">
      <c r="H1910" s="394" t="str">
        <f t="shared" si="133"/>
        <v/>
      </c>
      <c r="I1910" s="394" t="str">
        <f t="shared" si="134"/>
        <v/>
      </c>
      <c r="J1910" s="394" t="str">
        <f t="shared" si="135"/>
        <v/>
      </c>
      <c r="K1910" s="394" t="str">
        <f t="shared" si="136"/>
        <v/>
      </c>
    </row>
    <row r="1911" spans="8:11" x14ac:dyDescent="0.25">
      <c r="H1911" s="394" t="str">
        <f t="shared" si="133"/>
        <v/>
      </c>
      <c r="I1911" s="394" t="str">
        <f t="shared" si="134"/>
        <v/>
      </c>
      <c r="J1911" s="394" t="str">
        <f t="shared" si="135"/>
        <v/>
      </c>
      <c r="K1911" s="394" t="str">
        <f t="shared" si="136"/>
        <v/>
      </c>
    </row>
    <row r="1912" spans="8:11" x14ac:dyDescent="0.25">
      <c r="H1912" s="394" t="str">
        <f t="shared" si="133"/>
        <v/>
      </c>
      <c r="I1912" s="394" t="str">
        <f t="shared" si="134"/>
        <v/>
      </c>
      <c r="J1912" s="394" t="str">
        <f t="shared" si="135"/>
        <v/>
      </c>
      <c r="K1912" s="394" t="str">
        <f t="shared" si="136"/>
        <v/>
      </c>
    </row>
    <row r="1913" spans="8:11" x14ac:dyDescent="0.25">
      <c r="H1913" s="394" t="str">
        <f t="shared" si="133"/>
        <v/>
      </c>
      <c r="I1913" s="394" t="str">
        <f t="shared" si="134"/>
        <v/>
      </c>
      <c r="J1913" s="394" t="str">
        <f t="shared" si="135"/>
        <v/>
      </c>
      <c r="K1913" s="394" t="str">
        <f t="shared" si="136"/>
        <v/>
      </c>
    </row>
    <row r="1914" spans="8:11" x14ac:dyDescent="0.25">
      <c r="H1914" s="394" t="str">
        <f t="shared" si="133"/>
        <v/>
      </c>
      <c r="I1914" s="394" t="str">
        <f t="shared" si="134"/>
        <v/>
      </c>
      <c r="J1914" s="394" t="str">
        <f t="shared" si="135"/>
        <v/>
      </c>
      <c r="K1914" s="394" t="str">
        <f t="shared" si="136"/>
        <v/>
      </c>
    </row>
    <row r="1915" spans="8:11" x14ac:dyDescent="0.25">
      <c r="H1915" s="394" t="str">
        <f t="shared" si="133"/>
        <v/>
      </c>
      <c r="I1915" s="394" t="str">
        <f t="shared" si="134"/>
        <v/>
      </c>
      <c r="J1915" s="394" t="str">
        <f t="shared" si="135"/>
        <v/>
      </c>
      <c r="K1915" s="394" t="str">
        <f t="shared" si="136"/>
        <v/>
      </c>
    </row>
    <row r="1916" spans="8:11" x14ac:dyDescent="0.25">
      <c r="H1916" s="394" t="str">
        <f t="shared" si="133"/>
        <v/>
      </c>
      <c r="I1916" s="394" t="str">
        <f t="shared" si="134"/>
        <v/>
      </c>
      <c r="J1916" s="394" t="str">
        <f t="shared" si="135"/>
        <v/>
      </c>
      <c r="K1916" s="394" t="str">
        <f t="shared" si="136"/>
        <v/>
      </c>
    </row>
    <row r="1917" spans="8:11" x14ac:dyDescent="0.25">
      <c r="H1917" s="394" t="str">
        <f t="shared" si="133"/>
        <v/>
      </c>
      <c r="I1917" s="394" t="str">
        <f t="shared" si="134"/>
        <v/>
      </c>
      <c r="J1917" s="394" t="str">
        <f t="shared" si="135"/>
        <v/>
      </c>
      <c r="K1917" s="394" t="str">
        <f t="shared" si="136"/>
        <v/>
      </c>
    </row>
    <row r="1918" spans="8:11" x14ac:dyDescent="0.25">
      <c r="H1918" s="394" t="str">
        <f t="shared" si="133"/>
        <v/>
      </c>
      <c r="I1918" s="394" t="str">
        <f t="shared" si="134"/>
        <v/>
      </c>
      <c r="J1918" s="394" t="str">
        <f t="shared" si="135"/>
        <v/>
      </c>
      <c r="K1918" s="394" t="str">
        <f t="shared" si="136"/>
        <v/>
      </c>
    </row>
    <row r="1919" spans="8:11" x14ac:dyDescent="0.25">
      <c r="H1919" s="394" t="str">
        <f t="shared" si="133"/>
        <v/>
      </c>
      <c r="I1919" s="394" t="str">
        <f t="shared" si="134"/>
        <v/>
      </c>
      <c r="J1919" s="394" t="str">
        <f t="shared" si="135"/>
        <v/>
      </c>
      <c r="K1919" s="394" t="str">
        <f t="shared" si="136"/>
        <v/>
      </c>
    </row>
    <row r="1920" spans="8:11" x14ac:dyDescent="0.25">
      <c r="H1920" s="394" t="str">
        <f t="shared" si="133"/>
        <v/>
      </c>
      <c r="I1920" s="394" t="str">
        <f t="shared" si="134"/>
        <v/>
      </c>
      <c r="J1920" s="394" t="str">
        <f t="shared" si="135"/>
        <v/>
      </c>
      <c r="K1920" s="394" t="str">
        <f t="shared" si="136"/>
        <v/>
      </c>
    </row>
    <row r="1921" spans="8:11" x14ac:dyDescent="0.25">
      <c r="H1921" s="394" t="str">
        <f t="shared" si="133"/>
        <v/>
      </c>
      <c r="I1921" s="394" t="str">
        <f t="shared" si="134"/>
        <v/>
      </c>
      <c r="J1921" s="394" t="str">
        <f t="shared" si="135"/>
        <v/>
      </c>
      <c r="K1921" s="394" t="str">
        <f t="shared" si="136"/>
        <v/>
      </c>
    </row>
    <row r="1922" spans="8:11" x14ac:dyDescent="0.25">
      <c r="H1922" s="394" t="str">
        <f t="shared" si="133"/>
        <v/>
      </c>
      <c r="I1922" s="394" t="str">
        <f t="shared" si="134"/>
        <v/>
      </c>
      <c r="J1922" s="394" t="str">
        <f t="shared" si="135"/>
        <v/>
      </c>
      <c r="K1922" s="394" t="str">
        <f t="shared" si="136"/>
        <v/>
      </c>
    </row>
    <row r="1923" spans="8:11" x14ac:dyDescent="0.25">
      <c r="H1923" s="394" t="str">
        <f t="shared" si="133"/>
        <v/>
      </c>
      <c r="I1923" s="394" t="str">
        <f t="shared" si="134"/>
        <v/>
      </c>
      <c r="J1923" s="394" t="str">
        <f t="shared" si="135"/>
        <v/>
      </c>
      <c r="K1923" s="394" t="str">
        <f t="shared" si="136"/>
        <v/>
      </c>
    </row>
    <row r="1924" spans="8:11" x14ac:dyDescent="0.25">
      <c r="H1924" s="394" t="str">
        <f t="shared" si="133"/>
        <v/>
      </c>
      <c r="I1924" s="394" t="str">
        <f t="shared" si="134"/>
        <v/>
      </c>
      <c r="J1924" s="394" t="str">
        <f t="shared" si="135"/>
        <v/>
      </c>
      <c r="K1924" s="394" t="str">
        <f t="shared" si="136"/>
        <v/>
      </c>
    </row>
    <row r="1925" spans="8:11" x14ac:dyDescent="0.25">
      <c r="H1925" s="394" t="str">
        <f t="shared" si="133"/>
        <v/>
      </c>
      <c r="I1925" s="394" t="str">
        <f t="shared" si="134"/>
        <v/>
      </c>
      <c r="J1925" s="394" t="str">
        <f t="shared" si="135"/>
        <v/>
      </c>
      <c r="K1925" s="394" t="str">
        <f t="shared" si="136"/>
        <v/>
      </c>
    </row>
    <row r="1926" spans="8:11" x14ac:dyDescent="0.25">
      <c r="H1926" s="394" t="str">
        <f t="shared" si="133"/>
        <v/>
      </c>
      <c r="I1926" s="394" t="str">
        <f t="shared" si="134"/>
        <v/>
      </c>
      <c r="J1926" s="394" t="str">
        <f t="shared" si="135"/>
        <v/>
      </c>
      <c r="K1926" s="394" t="str">
        <f t="shared" si="136"/>
        <v/>
      </c>
    </row>
    <row r="1927" spans="8:11" x14ac:dyDescent="0.25">
      <c r="H1927" s="394" t="str">
        <f t="shared" si="133"/>
        <v/>
      </c>
      <c r="I1927" s="394" t="str">
        <f t="shared" si="134"/>
        <v/>
      </c>
      <c r="J1927" s="394" t="str">
        <f t="shared" si="135"/>
        <v/>
      </c>
      <c r="K1927" s="394" t="str">
        <f t="shared" si="136"/>
        <v/>
      </c>
    </row>
    <row r="1928" spans="8:11" x14ac:dyDescent="0.25">
      <c r="H1928" s="394" t="str">
        <f t="shared" si="133"/>
        <v/>
      </c>
      <c r="I1928" s="394" t="str">
        <f t="shared" si="134"/>
        <v/>
      </c>
      <c r="J1928" s="394" t="str">
        <f t="shared" si="135"/>
        <v/>
      </c>
      <c r="K1928" s="394" t="str">
        <f t="shared" si="136"/>
        <v/>
      </c>
    </row>
    <row r="1929" spans="8:11" x14ac:dyDescent="0.25">
      <c r="H1929" s="394" t="str">
        <f t="shared" si="133"/>
        <v/>
      </c>
      <c r="I1929" s="394" t="str">
        <f t="shared" si="134"/>
        <v/>
      </c>
      <c r="J1929" s="394" t="str">
        <f t="shared" si="135"/>
        <v/>
      </c>
      <c r="K1929" s="394" t="str">
        <f t="shared" si="136"/>
        <v/>
      </c>
    </row>
    <row r="1930" spans="8:11" x14ac:dyDescent="0.25">
      <c r="H1930" s="394" t="str">
        <f t="shared" si="133"/>
        <v/>
      </c>
      <c r="I1930" s="394" t="str">
        <f t="shared" si="134"/>
        <v/>
      </c>
      <c r="J1930" s="394" t="str">
        <f t="shared" si="135"/>
        <v/>
      </c>
      <c r="K1930" s="394" t="str">
        <f t="shared" si="136"/>
        <v/>
      </c>
    </row>
    <row r="1931" spans="8:11" x14ac:dyDescent="0.25">
      <c r="H1931" s="394" t="str">
        <f t="shared" si="133"/>
        <v/>
      </c>
      <c r="I1931" s="394" t="str">
        <f t="shared" si="134"/>
        <v/>
      </c>
      <c r="J1931" s="394" t="str">
        <f t="shared" si="135"/>
        <v/>
      </c>
      <c r="K1931" s="394" t="str">
        <f t="shared" si="136"/>
        <v/>
      </c>
    </row>
    <row r="1932" spans="8:11" x14ac:dyDescent="0.25">
      <c r="H1932" s="394" t="str">
        <f t="shared" si="133"/>
        <v/>
      </c>
      <c r="I1932" s="394" t="str">
        <f t="shared" si="134"/>
        <v/>
      </c>
      <c r="J1932" s="394" t="str">
        <f t="shared" si="135"/>
        <v/>
      </c>
      <c r="K1932" s="394" t="str">
        <f t="shared" si="136"/>
        <v/>
      </c>
    </row>
    <row r="1933" spans="8:11" x14ac:dyDescent="0.25">
      <c r="H1933" s="394" t="str">
        <f t="shared" si="133"/>
        <v/>
      </c>
      <c r="I1933" s="394" t="str">
        <f t="shared" si="134"/>
        <v/>
      </c>
      <c r="J1933" s="394" t="str">
        <f t="shared" si="135"/>
        <v/>
      </c>
      <c r="K1933" s="394" t="str">
        <f t="shared" si="136"/>
        <v/>
      </c>
    </row>
    <row r="1934" spans="8:11" x14ac:dyDescent="0.25">
      <c r="H1934" s="394" t="str">
        <f t="shared" si="133"/>
        <v/>
      </c>
      <c r="I1934" s="394" t="str">
        <f t="shared" si="134"/>
        <v/>
      </c>
      <c r="J1934" s="394" t="str">
        <f t="shared" si="135"/>
        <v/>
      </c>
      <c r="K1934" s="394" t="str">
        <f t="shared" si="136"/>
        <v/>
      </c>
    </row>
    <row r="1935" spans="8:11" x14ac:dyDescent="0.25">
      <c r="H1935" s="394" t="str">
        <f t="shared" si="133"/>
        <v/>
      </c>
      <c r="I1935" s="394" t="str">
        <f t="shared" si="134"/>
        <v/>
      </c>
      <c r="J1935" s="394" t="str">
        <f t="shared" si="135"/>
        <v/>
      </c>
      <c r="K1935" s="394" t="str">
        <f t="shared" si="136"/>
        <v/>
      </c>
    </row>
    <row r="1936" spans="8:11" x14ac:dyDescent="0.25">
      <c r="H1936" s="394" t="str">
        <f t="shared" si="133"/>
        <v/>
      </c>
      <c r="I1936" s="394" t="str">
        <f t="shared" si="134"/>
        <v/>
      </c>
      <c r="J1936" s="394" t="str">
        <f t="shared" si="135"/>
        <v/>
      </c>
      <c r="K1936" s="394" t="str">
        <f t="shared" si="136"/>
        <v/>
      </c>
    </row>
    <row r="1937" spans="8:11" x14ac:dyDescent="0.25">
      <c r="H1937" s="394" t="str">
        <f t="shared" si="133"/>
        <v/>
      </c>
      <c r="I1937" s="394" t="str">
        <f t="shared" si="134"/>
        <v/>
      </c>
      <c r="J1937" s="394" t="str">
        <f t="shared" si="135"/>
        <v/>
      </c>
      <c r="K1937" s="394" t="str">
        <f t="shared" si="136"/>
        <v/>
      </c>
    </row>
    <row r="1938" spans="8:11" x14ac:dyDescent="0.25">
      <c r="H1938" s="394" t="str">
        <f t="shared" si="133"/>
        <v/>
      </c>
      <c r="I1938" s="394" t="str">
        <f t="shared" si="134"/>
        <v/>
      </c>
      <c r="J1938" s="394" t="str">
        <f t="shared" si="135"/>
        <v/>
      </c>
      <c r="K1938" s="394" t="str">
        <f t="shared" si="136"/>
        <v/>
      </c>
    </row>
    <row r="1939" spans="8:11" x14ac:dyDescent="0.25">
      <c r="H1939" s="394" t="str">
        <f t="shared" si="133"/>
        <v/>
      </c>
      <c r="I1939" s="394" t="str">
        <f t="shared" si="134"/>
        <v/>
      </c>
      <c r="J1939" s="394" t="str">
        <f t="shared" si="135"/>
        <v/>
      </c>
      <c r="K1939" s="394" t="str">
        <f t="shared" si="136"/>
        <v/>
      </c>
    </row>
    <row r="1940" spans="8:11" x14ac:dyDescent="0.25">
      <c r="H1940" s="394" t="str">
        <f t="shared" si="133"/>
        <v/>
      </c>
      <c r="I1940" s="394" t="str">
        <f t="shared" si="134"/>
        <v/>
      </c>
      <c r="J1940" s="394" t="str">
        <f t="shared" si="135"/>
        <v/>
      </c>
      <c r="K1940" s="394" t="str">
        <f t="shared" si="136"/>
        <v/>
      </c>
    </row>
    <row r="1941" spans="8:11" x14ac:dyDescent="0.25">
      <c r="H1941" s="394" t="str">
        <f t="shared" si="133"/>
        <v/>
      </c>
      <c r="I1941" s="394" t="str">
        <f t="shared" si="134"/>
        <v/>
      </c>
      <c r="J1941" s="394" t="str">
        <f t="shared" si="135"/>
        <v/>
      </c>
      <c r="K1941" s="394" t="str">
        <f t="shared" si="136"/>
        <v/>
      </c>
    </row>
    <row r="1942" spans="8:11" x14ac:dyDescent="0.25">
      <c r="H1942" s="394" t="str">
        <f t="shared" si="133"/>
        <v/>
      </c>
      <c r="I1942" s="394" t="str">
        <f t="shared" si="134"/>
        <v/>
      </c>
      <c r="J1942" s="394" t="str">
        <f t="shared" si="135"/>
        <v/>
      </c>
      <c r="K1942" s="394" t="str">
        <f t="shared" si="136"/>
        <v/>
      </c>
    </row>
    <row r="1943" spans="8:11" x14ac:dyDescent="0.25">
      <c r="H1943" s="394" t="str">
        <f t="shared" si="133"/>
        <v/>
      </c>
      <c r="I1943" s="394" t="str">
        <f t="shared" si="134"/>
        <v/>
      </c>
      <c r="J1943" s="394" t="str">
        <f t="shared" si="135"/>
        <v/>
      </c>
      <c r="K1943" s="394" t="str">
        <f t="shared" si="136"/>
        <v/>
      </c>
    </row>
    <row r="1944" spans="8:11" x14ac:dyDescent="0.25">
      <c r="H1944" s="394" t="str">
        <f t="shared" si="133"/>
        <v/>
      </c>
      <c r="I1944" s="394" t="str">
        <f t="shared" si="134"/>
        <v/>
      </c>
      <c r="J1944" s="394" t="str">
        <f t="shared" si="135"/>
        <v/>
      </c>
      <c r="K1944" s="394" t="str">
        <f t="shared" si="136"/>
        <v/>
      </c>
    </row>
    <row r="1945" spans="8:11" x14ac:dyDescent="0.25">
      <c r="H1945" s="394" t="str">
        <f t="shared" si="133"/>
        <v/>
      </c>
      <c r="I1945" s="394" t="str">
        <f t="shared" si="134"/>
        <v/>
      </c>
      <c r="J1945" s="394" t="str">
        <f t="shared" si="135"/>
        <v/>
      </c>
      <c r="K1945" s="394" t="str">
        <f t="shared" si="136"/>
        <v/>
      </c>
    </row>
    <row r="1946" spans="8:11" x14ac:dyDescent="0.25">
      <c r="H1946" s="394" t="str">
        <f t="shared" si="133"/>
        <v/>
      </c>
      <c r="I1946" s="394" t="str">
        <f t="shared" si="134"/>
        <v/>
      </c>
      <c r="J1946" s="394" t="str">
        <f t="shared" si="135"/>
        <v/>
      </c>
      <c r="K1946" s="394" t="str">
        <f t="shared" si="136"/>
        <v/>
      </c>
    </row>
    <row r="1947" spans="8:11" x14ac:dyDescent="0.25">
      <c r="H1947" s="394" t="str">
        <f t="shared" si="133"/>
        <v/>
      </c>
      <c r="I1947" s="394" t="str">
        <f t="shared" si="134"/>
        <v/>
      </c>
      <c r="J1947" s="394" t="str">
        <f t="shared" si="135"/>
        <v/>
      </c>
      <c r="K1947" s="394" t="str">
        <f t="shared" si="136"/>
        <v/>
      </c>
    </row>
    <row r="1948" spans="8:11" x14ac:dyDescent="0.25">
      <c r="H1948" s="394" t="str">
        <f t="shared" si="133"/>
        <v/>
      </c>
      <c r="I1948" s="394" t="str">
        <f t="shared" si="134"/>
        <v/>
      </c>
      <c r="J1948" s="394" t="str">
        <f t="shared" si="135"/>
        <v/>
      </c>
      <c r="K1948" s="394" t="str">
        <f t="shared" si="136"/>
        <v/>
      </c>
    </row>
    <row r="1949" spans="8:11" x14ac:dyDescent="0.25">
      <c r="H1949" s="394" t="str">
        <f t="shared" si="133"/>
        <v/>
      </c>
      <c r="I1949" s="394" t="str">
        <f t="shared" si="134"/>
        <v/>
      </c>
      <c r="J1949" s="394" t="str">
        <f t="shared" si="135"/>
        <v/>
      </c>
      <c r="K1949" s="394" t="str">
        <f t="shared" si="136"/>
        <v/>
      </c>
    </row>
    <row r="1950" spans="8:11" x14ac:dyDescent="0.25">
      <c r="H1950" s="394" t="str">
        <f t="shared" si="133"/>
        <v/>
      </c>
      <c r="I1950" s="394" t="str">
        <f t="shared" si="134"/>
        <v/>
      </c>
      <c r="J1950" s="394" t="str">
        <f t="shared" si="135"/>
        <v/>
      </c>
      <c r="K1950" s="394" t="str">
        <f t="shared" si="136"/>
        <v/>
      </c>
    </row>
    <row r="1951" spans="8:11" x14ac:dyDescent="0.25">
      <c r="H1951" s="394" t="str">
        <f t="shared" si="133"/>
        <v/>
      </c>
      <c r="I1951" s="394" t="str">
        <f t="shared" si="134"/>
        <v/>
      </c>
      <c r="J1951" s="394" t="str">
        <f t="shared" si="135"/>
        <v/>
      </c>
      <c r="K1951" s="394" t="str">
        <f t="shared" si="136"/>
        <v/>
      </c>
    </row>
    <row r="1952" spans="8:11" x14ac:dyDescent="0.25">
      <c r="H1952" s="394" t="str">
        <f t="shared" si="133"/>
        <v/>
      </c>
      <c r="I1952" s="394" t="str">
        <f t="shared" si="134"/>
        <v/>
      </c>
      <c r="J1952" s="394" t="str">
        <f t="shared" si="135"/>
        <v/>
      </c>
      <c r="K1952" s="394" t="str">
        <f t="shared" si="136"/>
        <v/>
      </c>
    </row>
    <row r="1953" spans="8:11" x14ac:dyDescent="0.25">
      <c r="H1953" s="394" t="str">
        <f t="shared" si="133"/>
        <v/>
      </c>
      <c r="I1953" s="394" t="str">
        <f t="shared" si="134"/>
        <v/>
      </c>
      <c r="J1953" s="394" t="str">
        <f t="shared" si="135"/>
        <v/>
      </c>
      <c r="K1953" s="394" t="str">
        <f t="shared" si="136"/>
        <v/>
      </c>
    </row>
    <row r="1954" spans="8:11" x14ac:dyDescent="0.25">
      <c r="H1954" s="394" t="str">
        <f t="shared" si="133"/>
        <v/>
      </c>
      <c r="I1954" s="394" t="str">
        <f t="shared" si="134"/>
        <v/>
      </c>
      <c r="J1954" s="394" t="str">
        <f t="shared" si="135"/>
        <v/>
      </c>
      <c r="K1954" s="394" t="str">
        <f t="shared" si="136"/>
        <v/>
      </c>
    </row>
    <row r="1955" spans="8:11" x14ac:dyDescent="0.25">
      <c r="H1955" s="394" t="str">
        <f t="shared" si="133"/>
        <v/>
      </c>
      <c r="I1955" s="394" t="str">
        <f t="shared" si="134"/>
        <v/>
      </c>
      <c r="J1955" s="394" t="str">
        <f t="shared" si="135"/>
        <v/>
      </c>
      <c r="K1955" s="394" t="str">
        <f t="shared" si="136"/>
        <v/>
      </c>
    </row>
    <row r="1956" spans="8:11" x14ac:dyDescent="0.25">
      <c r="H1956" s="394" t="str">
        <f t="shared" si="133"/>
        <v/>
      </c>
      <c r="I1956" s="394" t="str">
        <f t="shared" si="134"/>
        <v/>
      </c>
      <c r="J1956" s="394" t="str">
        <f t="shared" si="135"/>
        <v/>
      </c>
      <c r="K1956" s="394" t="str">
        <f t="shared" si="136"/>
        <v/>
      </c>
    </row>
    <row r="1957" spans="8:11" x14ac:dyDescent="0.25">
      <c r="H1957" s="394" t="str">
        <f t="shared" si="133"/>
        <v/>
      </c>
      <c r="I1957" s="394" t="str">
        <f t="shared" si="134"/>
        <v/>
      </c>
      <c r="J1957" s="394" t="str">
        <f t="shared" si="135"/>
        <v/>
      </c>
      <c r="K1957" s="394" t="str">
        <f t="shared" si="136"/>
        <v/>
      </c>
    </row>
    <row r="1958" spans="8:11" x14ac:dyDescent="0.25">
      <c r="H1958" s="394" t="str">
        <f t="shared" si="133"/>
        <v/>
      </c>
      <c r="I1958" s="394" t="str">
        <f t="shared" si="134"/>
        <v/>
      </c>
      <c r="J1958" s="394" t="str">
        <f t="shared" si="135"/>
        <v/>
      </c>
      <c r="K1958" s="394" t="str">
        <f t="shared" si="136"/>
        <v/>
      </c>
    </row>
    <row r="1959" spans="8:11" x14ac:dyDescent="0.25">
      <c r="H1959" s="394" t="str">
        <f t="shared" si="133"/>
        <v/>
      </c>
      <c r="I1959" s="394" t="str">
        <f t="shared" si="134"/>
        <v/>
      </c>
      <c r="J1959" s="394" t="str">
        <f t="shared" si="135"/>
        <v/>
      </c>
      <c r="K1959" s="394" t="str">
        <f t="shared" si="136"/>
        <v/>
      </c>
    </row>
    <row r="1960" spans="8:11" x14ac:dyDescent="0.25">
      <c r="H1960" s="394" t="str">
        <f t="shared" si="133"/>
        <v/>
      </c>
      <c r="I1960" s="394" t="str">
        <f t="shared" si="134"/>
        <v/>
      </c>
      <c r="J1960" s="394" t="str">
        <f t="shared" si="135"/>
        <v/>
      </c>
      <c r="K1960" s="394" t="str">
        <f t="shared" si="136"/>
        <v/>
      </c>
    </row>
    <row r="1961" spans="8:11" x14ac:dyDescent="0.25">
      <c r="H1961" s="394" t="str">
        <f t="shared" ref="H1961:H1978" si="137">IF($C983="","",ROUND(($B$2*$F983*($B$5/1000))/$B$6,2))</f>
        <v/>
      </c>
      <c r="I1961" s="394" t="str">
        <f t="shared" ref="I1961:I1978" si="138">IF($C983="","",ROUND(($B$3*$F983*($B$5/1000))/$B$6,2))</f>
        <v/>
      </c>
      <c r="J1961" s="394" t="str">
        <f t="shared" ref="J1961:J1978" si="139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40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7"/>
        <v/>
      </c>
      <c r="I1962" s="394" t="str">
        <f t="shared" si="138"/>
        <v/>
      </c>
      <c r="J1962" s="394" t="str">
        <f t="shared" si="139"/>
        <v/>
      </c>
      <c r="K1962" s="394" t="str">
        <f t="shared" si="140"/>
        <v/>
      </c>
    </row>
    <row r="1963" spans="8:11" x14ac:dyDescent="0.25">
      <c r="H1963" s="394" t="str">
        <f t="shared" si="137"/>
        <v/>
      </c>
      <c r="I1963" s="394" t="str">
        <f t="shared" si="138"/>
        <v/>
      </c>
      <c r="J1963" s="394" t="str">
        <f t="shared" si="139"/>
        <v/>
      </c>
      <c r="K1963" s="394" t="str">
        <f t="shared" si="140"/>
        <v/>
      </c>
    </row>
    <row r="1964" spans="8:11" x14ac:dyDescent="0.25">
      <c r="H1964" s="394" t="str">
        <f t="shared" si="137"/>
        <v/>
      </c>
      <c r="I1964" s="394" t="str">
        <f t="shared" si="138"/>
        <v/>
      </c>
      <c r="J1964" s="394" t="str">
        <f t="shared" si="139"/>
        <v/>
      </c>
      <c r="K1964" s="394" t="str">
        <f t="shared" si="140"/>
        <v/>
      </c>
    </row>
    <row r="1965" spans="8:11" x14ac:dyDescent="0.25">
      <c r="H1965" s="394" t="str">
        <f t="shared" si="137"/>
        <v/>
      </c>
      <c r="I1965" s="394" t="str">
        <f t="shared" si="138"/>
        <v/>
      </c>
      <c r="J1965" s="394" t="str">
        <f t="shared" si="139"/>
        <v/>
      </c>
      <c r="K1965" s="394" t="str">
        <f t="shared" si="140"/>
        <v/>
      </c>
    </row>
    <row r="1966" spans="8:11" x14ac:dyDescent="0.25">
      <c r="H1966" s="394" t="str">
        <f t="shared" si="137"/>
        <v/>
      </c>
      <c r="I1966" s="394" t="str">
        <f t="shared" si="138"/>
        <v/>
      </c>
      <c r="J1966" s="394" t="str">
        <f t="shared" si="139"/>
        <v/>
      </c>
      <c r="K1966" s="394" t="str">
        <f t="shared" si="140"/>
        <v/>
      </c>
    </row>
    <row r="1967" spans="8:11" x14ac:dyDescent="0.25">
      <c r="H1967" s="394" t="str">
        <f t="shared" si="137"/>
        <v/>
      </c>
      <c r="I1967" s="394" t="str">
        <f t="shared" si="138"/>
        <v/>
      </c>
      <c r="J1967" s="394" t="str">
        <f t="shared" si="139"/>
        <v/>
      </c>
      <c r="K1967" s="394" t="str">
        <f t="shared" si="140"/>
        <v/>
      </c>
    </row>
    <row r="1968" spans="8:11" x14ac:dyDescent="0.25">
      <c r="H1968" s="394" t="str">
        <f t="shared" si="137"/>
        <v/>
      </c>
      <c r="I1968" s="394" t="str">
        <f t="shared" si="138"/>
        <v/>
      </c>
      <c r="J1968" s="394" t="str">
        <f t="shared" si="139"/>
        <v/>
      </c>
      <c r="K1968" s="394" t="str">
        <f t="shared" si="140"/>
        <v/>
      </c>
    </row>
    <row r="1969" spans="8:11" x14ac:dyDescent="0.25">
      <c r="H1969" s="394" t="str">
        <f t="shared" si="137"/>
        <v/>
      </c>
      <c r="I1969" s="394" t="str">
        <f t="shared" si="138"/>
        <v/>
      </c>
      <c r="J1969" s="394" t="str">
        <f t="shared" si="139"/>
        <v/>
      </c>
      <c r="K1969" s="394" t="str">
        <f t="shared" si="140"/>
        <v/>
      </c>
    </row>
    <row r="1970" spans="8:11" x14ac:dyDescent="0.25">
      <c r="H1970" s="394" t="str">
        <f t="shared" si="137"/>
        <v/>
      </c>
      <c r="I1970" s="394" t="str">
        <f t="shared" si="138"/>
        <v/>
      </c>
      <c r="J1970" s="394" t="str">
        <f t="shared" si="139"/>
        <v/>
      </c>
      <c r="K1970" s="394" t="str">
        <f t="shared" si="140"/>
        <v/>
      </c>
    </row>
    <row r="1971" spans="8:11" x14ac:dyDescent="0.25">
      <c r="H1971" s="394" t="str">
        <f t="shared" si="137"/>
        <v/>
      </c>
      <c r="I1971" s="394" t="str">
        <f t="shared" si="138"/>
        <v/>
      </c>
      <c r="J1971" s="394" t="str">
        <f t="shared" si="139"/>
        <v/>
      </c>
      <c r="K1971" s="394" t="str">
        <f t="shared" si="140"/>
        <v/>
      </c>
    </row>
    <row r="1972" spans="8:11" x14ac:dyDescent="0.25">
      <c r="H1972" s="394" t="str">
        <f t="shared" si="137"/>
        <v/>
      </c>
      <c r="I1972" s="394" t="str">
        <f t="shared" si="138"/>
        <v/>
      </c>
      <c r="J1972" s="394" t="str">
        <f t="shared" si="139"/>
        <v/>
      </c>
      <c r="K1972" s="394" t="str">
        <f t="shared" si="140"/>
        <v/>
      </c>
    </row>
    <row r="1973" spans="8:11" x14ac:dyDescent="0.25">
      <c r="H1973" s="394" t="str">
        <f t="shared" si="137"/>
        <v/>
      </c>
      <c r="I1973" s="394" t="str">
        <f t="shared" si="138"/>
        <v/>
      </c>
      <c r="J1973" s="394" t="str">
        <f t="shared" si="139"/>
        <v/>
      </c>
      <c r="K1973" s="394" t="str">
        <f t="shared" si="140"/>
        <v/>
      </c>
    </row>
    <row r="1974" spans="8:11" x14ac:dyDescent="0.25">
      <c r="H1974" s="394" t="str">
        <f t="shared" si="137"/>
        <v/>
      </c>
      <c r="I1974" s="394" t="str">
        <f t="shared" si="138"/>
        <v/>
      </c>
      <c r="J1974" s="394" t="str">
        <f t="shared" si="139"/>
        <v/>
      </c>
      <c r="K1974" s="394" t="str">
        <f t="shared" si="140"/>
        <v/>
      </c>
    </row>
    <row r="1975" spans="8:11" x14ac:dyDescent="0.25">
      <c r="H1975" s="394" t="str">
        <f t="shared" si="137"/>
        <v/>
      </c>
      <c r="I1975" s="394" t="str">
        <f t="shared" si="138"/>
        <v/>
      </c>
      <c r="J1975" s="394" t="str">
        <f t="shared" si="139"/>
        <v/>
      </c>
      <c r="K1975" s="394" t="str">
        <f t="shared" si="140"/>
        <v/>
      </c>
    </row>
    <row r="1976" spans="8:11" x14ac:dyDescent="0.25">
      <c r="H1976" s="394" t="str">
        <f t="shared" si="137"/>
        <v/>
      </c>
      <c r="I1976" s="394" t="str">
        <f t="shared" si="138"/>
        <v/>
      </c>
      <c r="J1976" s="394" t="str">
        <f t="shared" si="139"/>
        <v/>
      </c>
      <c r="K1976" s="394" t="str">
        <f t="shared" si="140"/>
        <v/>
      </c>
    </row>
    <row r="1977" spans="8:11" x14ac:dyDescent="0.25">
      <c r="H1977" s="394" t="str">
        <f t="shared" si="137"/>
        <v/>
      </c>
      <c r="I1977" s="394" t="str">
        <f t="shared" si="138"/>
        <v/>
      </c>
      <c r="J1977" s="394" t="str">
        <f t="shared" si="139"/>
        <v/>
      </c>
      <c r="K1977" s="394" t="str">
        <f t="shared" si="140"/>
        <v/>
      </c>
    </row>
    <row r="1978" spans="8:11" x14ac:dyDescent="0.25">
      <c r="H1978" s="394" t="str">
        <f t="shared" si="137"/>
        <v/>
      </c>
      <c r="I1978" s="394" t="str">
        <f t="shared" si="138"/>
        <v/>
      </c>
      <c r="J1978" s="394" t="str">
        <f t="shared" si="139"/>
        <v/>
      </c>
      <c r="K1978" s="394" t="str">
        <f t="shared" si="140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7"/>
  <sheetViews>
    <sheetView zoomScale="75" zoomScaleNormal="75" workbookViewId="0">
      <selection activeCell="E30" sqref="E30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[Variant]</v>
      </c>
      <c r="G1" s="221" t="str" cm="1">
        <f t="array" ref="G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[Lattice]</v>
      </c>
      <c r="H1" s="221" t="str" cm="1">
        <f t="array" ref="H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[Hung Window - Casement]</v>
      </c>
      <c r="I1" s="221" t="str" cm="1">
        <f t="array" ref="I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4</v>
      </c>
      <c r="J1" s="221" t="str" cm="1">
        <f t="array" ref="J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5</v>
      </c>
      <c r="K1" s="221" t="str" cm="1">
        <f t="array" ref="K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6</v>
      </c>
      <c r="L1" s="221" t="str" cm="1">
        <f t="array" ref="L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7</v>
      </c>
    </row>
    <row r="2" spans="1:12" x14ac:dyDescent="0.25">
      <c r="A2" t="str" cm="1">
        <f t="array" ref="A2">_xlfn.LET(
  _xlpm.src,TRIM(SUBSTITUTE(CalcEngine!A64:A5000,CHAR(160),"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Standard</v>
      </c>
      <c r="B2" t="str" cm="1">
        <f t="array" ref="B2:B5">_xlfn.LET(
  _xlpm.src, CalcEngine!B61:B5000,
  _xlpm.s, TRIM(_xlpm.src),
  _xlpm.arr, _xlfn._xlws.FILTER(_xlpm.s, _xlpm.s&lt;&gt;""),
  _xlfn._xlws.SORT(_xlfn.UNIQUE(_xlpm.arr))
)</f>
        <v>Install Only</v>
      </c>
      <c r="C2" t="str" cm="1">
        <f t="array" ref="C2:C5">_xlfn.LET(
  _xlpm.src, CalcEngine!C61:C5000,
  _xlpm.s, TRIM(_xlpm.src),
  _xlpm.arr, _xlfn._xlws.FILTER(_xlpm.s, _xlpm.s&lt;&gt;""),
  _xlfn._xlws.SORT(_xlfn.UNIQUE(_xlpm.arr))
)</f>
        <v>Casement Window Standard</v>
      </c>
      <c r="D2" t="str" cm="1">
        <f t="array" ref="D2:D5">_xlfn.LET(
  _xlpm.src,CalcEngine!D61:D5000,
  _xlpm.s,TRIM(_xlpm.src),
  _xlpm.arr,_xlfn._xlws.FILTER(_xlpm.s,_xlpm.s&lt;&gt;""),
  _xlfn.UNIQUE(_xlpm.arr)
)</f>
        <v>N/A</v>
      </c>
      <c r="E2" t="str">
        <f>IF(COUNTA(CalcEngine!$E$61:$E$5000)=0,"","Default")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_xlfn.LET(_xlpm.src,TRIM(CalcEngine!$E$61:$E$5000),IFERROR(_xlfn._xlws.SORT(_xlfn.UNIQUE(_xlfn._xlws.FILTER(_xlpm.src,(_xlpm.src&lt;&gt;"")*(_xlpm.src&lt;&gt;"Default")))),""))</f>
        <v>Z-Louvre Blade - 2"</v>
      </c>
      <c r="F3" t="str">
        <v>SF 2"</v>
      </c>
    </row>
    <row r="4" spans="1:12" x14ac:dyDescent="0.25">
      <c r="B4" t="str">
        <v>Supply &amp; Install</v>
      </c>
      <c r="C4" t="str">
        <v>Curtain Wall</v>
      </c>
      <c r="D4" t="str">
        <v>M/B</v>
      </c>
      <c r="E4" t="str">
        <v>Z-Louvre Blade - 5"</v>
      </c>
      <c r="F4" t="str">
        <v>SF 3"</v>
      </c>
    </row>
    <row r="5" spans="1:12" x14ac:dyDescent="0.25">
      <c r="B5" t="str">
        <v>Supply Only</v>
      </c>
      <c r="C5" t="str">
        <v>Top Hung Window / Fix Window</v>
      </c>
      <c r="D5" t="str">
        <v>W/G</v>
      </c>
      <c r="F5" t="str">
        <v>SF 4"</v>
      </c>
    </row>
    <row r="6" spans="1:12" x14ac:dyDescent="0.25">
      <c r="F6" t="str">
        <v>Z-Louvre Blade - 2"</v>
      </c>
    </row>
    <row r="7" spans="1:12" x14ac:dyDescent="0.25">
      <c r="F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zoomScale="75" zoomScaleNormal="75" workbookViewId="0">
      <selection activeCell="O30" sqref="O30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40</v>
      </c>
      <c r="E2" s="244">
        <v>11.46</v>
      </c>
      <c r="F2" s="105">
        <f>IF(D2*E2=0, "", D2*E2)</f>
        <v>458.40000000000003</v>
      </c>
      <c r="G2" s="18" t="s">
        <v>9</v>
      </c>
      <c r="H2" s="10">
        <f>2*Enginuity!$B$6 + 2*Enginuity!$B$7</f>
        <v>60</v>
      </c>
      <c r="I2" s="17">
        <v>1.1000000000000001</v>
      </c>
      <c r="J2" s="83">
        <f>IF(H2*I2=0, "", H2*I2)</f>
        <v>66</v>
      </c>
      <c r="K2" s="343"/>
      <c r="L2" s="347"/>
      <c r="M2" s="89">
        <v>1</v>
      </c>
      <c r="N2" s="93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60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20</v>
      </c>
      <c r="E3" s="244">
        <v>2.99</v>
      </c>
      <c r="F3" s="105">
        <f t="shared" ref="F3:F49" si="0">IF(D3*E3=0, "", D3*E3)</f>
        <v>59.800000000000004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60</v>
      </c>
      <c r="P3" s="14" t="s">
        <v>266</v>
      </c>
      <c r="Q3" s="83">
        <f>IF(AND(Enginuity!$B$6&gt;0, Enginuity!$B$7&gt;0, Enginuity!$B$13&gt;0), (2 * Enginuity!$B$7 * Enginuity!$B$13) + (2 * Enginuity!$B$6), "")</f>
        <v>180</v>
      </c>
      <c r="U3" s="104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20</v>
      </c>
      <c r="E4" s="244">
        <v>5.7</v>
      </c>
      <c r="F4" s="105">
        <f t="shared" si="0"/>
        <v>114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180</v>
      </c>
      <c r="P4" s="14" t="s">
        <v>263</v>
      </c>
      <c r="Q4" s="83">
        <f>IF(Enginuity!$B$6&gt;0, Enginuity!$B$6, "")</f>
        <v>20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2</v>
      </c>
      <c r="E5" s="244">
        <v>59</v>
      </c>
      <c r="F5" s="105">
        <f t="shared" si="0"/>
        <v>118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>
        <f>IF(AND(Enginuity!$B$6&gt;0, Enginuity!$B$7&gt;0, Enginuity!$B$13&gt;0), ((2*Enginuity!$B$7*Enginuity!$B$13)+(2*Enginuity!$B$6))*2, "")</f>
        <v>360</v>
      </c>
      <c r="P5" s="14" t="s">
        <v>264</v>
      </c>
      <c r="Q5" s="83">
        <f>IF(Enginuity!$B$7&gt;0, Enginuity!$B$7, "")</f>
        <v>10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E6" s="244">
        <v>0.56999999999999995</v>
      </c>
      <c r="F6" s="105">
        <f t="shared" si="0"/>
        <v>113.99999999999999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P6" s="14" t="s">
        <v>265</v>
      </c>
      <c r="Q6" s="83">
        <f>IF(AND(Enginuity!$B$7&gt;0, Enginuity!$B$13&gt;1), (Enginuity!$B$13 - 1) * Enginuity!$B$7, "")</f>
        <v>60</v>
      </c>
      <c r="U6" s="104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>
        <f xml:space="preserve"> ((2*1*Enginuity!$B$13 + 2*Enginuity!$B$6) * $B$7)
+ (((Enginuity!$B$13-1)*1) * $B$8)
+ ($B$2 * Enginuity!$B$13)
+ ($B$3 * Enginuity!$B$13)</f>
        <v>312.26000000000005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>
        <f>Enginuity!$B$13</f>
        <v>7</v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>
        <f xml:space="preserve"> ((2*1*Enginuity!$B$13 + 2*Enginuity!$B$6) * $B$9)
+ (((Enginuity!$B$13-1)*1) * $B$8)</f>
        <v>119.58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P8" s="14" t="s">
        <v>278</v>
      </c>
      <c r="Q8" s="83">
        <f>Enginuity!$B$6*2</f>
        <v>40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>
        <f>(3*Enginuity!$B$6)+(Enginuity!$B$7*Enginuity!$B$13)</f>
        <v>130</v>
      </c>
      <c r="E9" s="245">
        <v>1.86</v>
      </c>
      <c r="F9" s="105">
        <f t="shared" si="0"/>
        <v>241.8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>
        <f>Enginuity!$B$13*IF(TRIM(Enginuity!$A$21)="1'H X ?'W X Qty Panel Top Hung (Casement Profile)",2,1)</f>
        <v>7</v>
      </c>
      <c r="P9" s="14" t="s">
        <v>281</v>
      </c>
      <c r="Q9" s="98">
        <f>Enginuity!$B$6</f>
        <v>20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>
        <f>(4*Enginuity!$B$6)+(2*Enginuity!$B$7*Enginuity!$B$13)</f>
        <v>220</v>
      </c>
      <c r="E10" s="245">
        <v>1.86</v>
      </c>
      <c r="F10" s="105">
        <f t="shared" si="0"/>
        <v>409.20000000000005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>
        <f>Enginuity!$B$13*4</f>
        <v>28</v>
      </c>
      <c r="P10" s="14" t="s">
        <v>282</v>
      </c>
      <c r="Q10" s="83">
        <f>Enginuity!$B$6*2</f>
        <v>40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>
        <f>($B$2 * Enginuity!$B$13)
+ ($B$3 * Enginuity!$B$13)
+ ((2*1 + 2*Enginuity!$B$6) * $B$6)
+ ((2*1*Enginuity!$B$13 + 2*Enginuity!$B$6) * $B$7)
+ (((Enginuity!$B$13-1)*1) * $B$8)
+ (Enginuity!$B$6 * $B$4)</f>
        <v>604.38</v>
      </c>
      <c r="F11" s="105">
        <f>IF(D11*E11=0, "", D11*E11)</f>
        <v>604.38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>
        <f>Enginuity!$B$13*2</f>
        <v>14</v>
      </c>
      <c r="P11" s="14" t="s">
        <v>283</v>
      </c>
      <c r="Q11" s="83">
        <f>Enginuity!$B$6*2</f>
        <v>40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>
        <f>((2*1 + 2*Enginuity!$B$6) * $B$6)
+ ((2*1*Enginuity!$B$13 + 2*Enginuity!$B$6) * $B$9)
+ (((Enginuity!$B$13-1)*1) * $B$8)
+ (Enginuity!$B$6 * $B$4)</f>
        <v>411.7</v>
      </c>
      <c r="F12" s="105">
        <f>IF(D12*E12=0, "", D12*E12)</f>
        <v>411.7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80</v>
      </c>
      <c r="P12" s="14" t="s">
        <v>284</v>
      </c>
      <c r="Q12" s="98">
        <f>Enginuity!$B$6</f>
        <v>20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>
        <f>Enginuity!$B$13 *
 IF(Enginuity!$B$7&lt;7,3,
 IF(AND(Enginuity!$B$7&gt;=8,Enginuity!$B$7&lt;=9),4,
 IF(AND(Enginuity!$B$7&gt;=10,Enginuity!$B$7&lt;=11),5,
 IF(AND(Enginuity!$B$7&gt;=12,Enginuity!$B$7&lt;=13),6,
 0))))</f>
        <v>35</v>
      </c>
      <c r="P13" s="14" t="s">
        <v>285</v>
      </c>
      <c r="Q13" s="83">
        <f>Enginuity!$B$6*2</f>
        <v>40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>
        <f>IF(AND(ISNUMBER(Enginuity!B13), Enginuity!B13&gt;0), Enginuity!B13*4, "")</f>
        <v>28</v>
      </c>
      <c r="P14" s="14" t="s">
        <v>286</v>
      </c>
      <c r="Q14" s="83">
        <f>IF(Enginuity!$B$7&gt;0, 2 * Enginuity!$B$7, "")</f>
        <v>20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20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20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20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20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>
        <f>IF(AND(Enginuity!$B$7&gt;0, Enginuity!$B$13&gt;0), Enginuity!$B$7 * Enginuity!$B$13, "")</f>
        <v>70</v>
      </c>
      <c r="U19" s="104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>
        <f>IF(AND(Enginuity!$B$7&gt;0, Enginuity!$B$13&gt;0), Enginuity!$B$7 * Enginuity!$B$13, "")</f>
        <v>70</v>
      </c>
      <c r="U20" s="104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10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20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20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60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 xml:space="preserve">2" Louver Blade N/A 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>
        <f>$Q$3</f>
        <v>180</v>
      </c>
      <c r="U52" s="104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2" Louver Blade P/C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 xml:space="preserve">5" Louver Blade N/A 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>
        <f>IF(AND(Enginuity!$B$7&gt;0, Enginuity!$B$13&gt;1), (Enginuity!$B$13 - 1) * Enginuity!$B$7, "")</f>
        <v>60</v>
      </c>
      <c r="U54" s="104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5" Louver Blade P/C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 t="str">
        <f>Enginuity!$A$20</f>
        <v>Z-Louvre Blade - 5"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/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 t="str">
        <f>Enginuity!$A$21</f>
        <v>Z-Louvre Blade - 5"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/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 t="str">
        <f>Enginuity!$A$22</f>
        <v>▼ [Lattice]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/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/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/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60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>
        <f>$Q$3</f>
        <v>180</v>
      </c>
      <c r="U62" s="104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>
        <f>IF(AND(Enginuity!$B$7&gt;0, Enginuity!$B$13&gt;1), (Enginuity!$B$13 - 1) * Enginuity!$B$7, "")</f>
        <v>60</v>
      </c>
      <c r="U64" s="104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- 5"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 t="str">
        <f>Enginuity!$A$21</f>
        <v>Z-Louvre Blade - 5"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 t="str">
        <f>Enginuity!$A$22</f>
        <v>▼ [Lattice]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60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>
        <f>IF(AND(Enginuity!$B$6&gt;0, Enginuity!$B$7&gt;0, Enginuity!$B$13&gt;0), (2 * Enginuity!$B$7 * Enginuity!$B$13) + (2 * Enginuity!$B$6), "")</f>
        <v>180</v>
      </c>
      <c r="U80" s="104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>
        <f>IF(AND(Enginuity!$B$6&gt;0, Enginuity!$B$7&gt;0, Enginuity!$B$13&gt;0), ((2*Enginuity!$B$7*Enginuity!$B$13)+(2*Enginuity!$B$6))*2, "")</f>
        <v>360</v>
      </c>
      <c r="U81" s="104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82" s="104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>
        <f>Enginuity!$B$13*IF(TRIM(Enginuity!$A$21)="1'H X ?'W X Qty Panel Top Hung (Casement Profile)",2,1)</f>
        <v>7</v>
      </c>
      <c r="U83" s="104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>
        <f>Enginuity!$B$13*IF(TRIM(Enginuity!$A$21)="1'H X ?'W X Qty Panel Top Hung (Casement Profile)",2,1)</f>
        <v>7</v>
      </c>
      <c r="U84" s="104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20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 xml:space="preserve">2" Louver Blade N/A 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20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2" Louver Blade P/C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20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 xml:space="preserve">5" Louver Blade N/A 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40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5" Louver Blade P/C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40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/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20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/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20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/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20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/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>
        <f>IF(AND(Enginuity!$B$7&gt;0, Enginuity!$B$13&gt;0), Enginuity!$B$7 * Enginuity!$B$13, "")</f>
        <v>70</v>
      </c>
      <c r="U108" s="104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/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>
        <f>IF(AND(Enginuity!$B$7&gt;0, Enginuity!$B$13&gt;0), Enginuity!$B$7 * Enginuity!$B$13, "")</f>
        <v>70</v>
      </c>
      <c r="U109" s="104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10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- 5"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 t="str">
        <f>Enginuity!$A$21</f>
        <v>Z-Louvre Blade - 5"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 t="str">
        <f>Enginuity!$A$22</f>
        <v>▼ [Lattice]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20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20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20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40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40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20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20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20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>
        <f>IF(AND(Enginuity!$B$7&gt;0, Enginuity!$B$13&gt;0), Enginuity!$B$7 * Enginuity!$B$13, "")</f>
        <v>70</v>
      </c>
      <c r="U126" s="104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>
        <f>IF(AND(Enginuity!$B$7&gt;0, Enginuity!$B$13&gt;0), Enginuity!$B$7 * Enginuity!$B$13, "")</f>
        <v>70</v>
      </c>
      <c r="U127" s="104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10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- 5"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 t="str">
        <f>Enginuity!$A$21</f>
        <v>Z-Louvre Blade - 5"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 t="str">
        <f>Enginuity!$A$22</f>
        <v>▼ [Lattice]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60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>
        <f>IF(AND(Enginuity!$B$6&gt;0, Enginuity!$B$7&gt;0, Enginuity!$B$13&gt;0), (2 * Enginuity!$B$7 * Enginuity!$B$13) + (2 * Enginuity!$B$6), "")</f>
        <v>180</v>
      </c>
      <c r="U141" s="104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>
        <f>IF(AND(Enginuity!$B$6&gt;0, Enginuity!$B$7&gt;0, Enginuity!$B$13&gt;0), ((2*Enginuity!$B$7*Enginuity!$B$13)+(2*Enginuity!$B$6))*2, "")</f>
        <v>360</v>
      </c>
      <c r="U142" s="104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43" s="104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>
        <f>Enginuity!$B$13</f>
        <v>7</v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>
        <f>Enginuity!$B$13*4</f>
        <v>28</v>
      </c>
      <c r="U147" s="104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>
        <f>Enginuity!$B$13*2</f>
        <v>14</v>
      </c>
      <c r="U148" s="104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20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 xml:space="preserve">2" Louver Blade N/A 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20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2" Louver Blade P/C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20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 xml:space="preserve">5" Louver Blade N/A 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40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5" Louver Blade P/C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40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/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20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/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20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/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20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/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>
        <f>IF(AND(Enginuity!$B$7&gt;0, Enginuity!$B$13&gt;0), Enginuity!$B$7 * Enginuity!$B$13, "")</f>
        <v>70</v>
      </c>
      <c r="U157" s="104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/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>
        <f>IF(AND(Enginuity!$B$7&gt;0, Enginuity!$B$13&gt;0), Enginuity!$B$7 * Enginuity!$B$13, "")</f>
        <v>70</v>
      </c>
      <c r="U158" s="104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10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- 5"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 t="str">
        <f>Enginuity!$A$21</f>
        <v>Z-Louvre Blade - 5"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 t="str">
        <f>Enginuity!$A$22</f>
        <v>▼ [Lattice]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20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20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20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40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40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20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20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20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>
        <f>IF(AND(Enginuity!$B$7&gt;0, Enginuity!$B$13&gt;0), Enginuity!$B$7 * Enginuity!$B$13, "")</f>
        <v>70</v>
      </c>
      <c r="U175" s="104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>
        <f>IF(AND(Enginuity!$B$7&gt;0, Enginuity!$B$13&gt;0), Enginuity!$B$7 * Enginuity!$B$13, "")</f>
        <v>70</v>
      </c>
      <c r="U176" s="104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10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- 5"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 t="str">
        <f>Enginuity!$A$21</f>
        <v>Z-Louvre Blade - 5"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 t="str">
        <f>Enginuity!$A$22</f>
        <v>▼ [Lattice]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60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>
        <f>IF(AND(Enginuity!$B$6&gt;0, Enginuity!$B$7&gt;0, Enginuity!$B$13&gt;0), (2 * Enginuity!$B$7 * Enginuity!$B$13) + (2 * Enginuity!$B$6), "")</f>
        <v>180</v>
      </c>
      <c r="U190" s="104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>
        <f>IF(AND(Enginuity!$B$6&gt;0, Enginuity!$B$7&gt;0, Enginuity!$B$13&gt;0), ((2*Enginuity!$B$7*Enginuity!$B$13)+(2*Enginuity!$B$6))*2, "")</f>
        <v>360</v>
      </c>
      <c r="U191" s="104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92" s="104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>
        <f>Enginuity!$B$13</f>
        <v>7</v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>
        <f>Enginuity!$B$13*4</f>
        <v>28</v>
      </c>
      <c r="U196" s="104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>
        <f>Enginuity!$B$13*2</f>
        <v>14</v>
      </c>
      <c r="U197" s="104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40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 xml:space="preserve">2" Louver Blade N/A 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20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2" Louver Blade P/C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20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 xml:space="preserve">5" Louver Blade N/A 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20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5" Louver Blade P/C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80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/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>
        <f>$Q$3</f>
        <v>180</v>
      </c>
      <c r="U203" s="104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/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20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/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- 5"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/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/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40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20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20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20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80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>
        <f>$Q$3</f>
        <v>180</v>
      </c>
      <c r="U218" s="104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20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- 5"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>
        <f>IF(AND(Enginuity!$B$6&gt;0, Enginuity!$B$7&gt;0, Enginuity!$B$13&gt;0), ((2*Enginuity!$B$7*Enginuity!$B$13)+(2*Enginuity!$B$6))*2, "")</f>
        <v>360</v>
      </c>
      <c r="U237" s="104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38" s="104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>
        <f>Enginuity!$B$13</f>
        <v>7</v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>
        <f>Enginuity!$B$13*2</f>
        <v>14</v>
      </c>
      <c r="U242" s="104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>
        <f>Enginuity!$B$13*2</f>
        <v>14</v>
      </c>
      <c r="U243" s="104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40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>
        <f>IF(Enginuity!$B$13-1=0, "", Enginuity!$B$13-1)</f>
        <v>6</v>
      </c>
      <c r="U245" s="104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>
        <f>IF(Enginuity!$B$13-1=0, "", Enginuity!$B$13-1)</f>
        <v>6</v>
      </c>
      <c r="U246" s="104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>
        <f>$Q$3</f>
        <v>180</v>
      </c>
      <c r="U247" s="104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 xml:space="preserve">2" Louver Blade N/A 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20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2" Louver Blade P/C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- 5"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 xml:space="preserve">5" Louver Blade N/A 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 t="str">
        <f>Enginuity!$A$21</f>
        <v>Z-Louvre Blade - 5"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5" Louver Blade P/C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 t="str">
        <f>Enginuity!$A$22</f>
        <v>▼ [Lattice]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/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/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/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/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/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458.40000000000003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>
        <f>$Q$3</f>
        <v>180</v>
      </c>
      <c r="U257" s="104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20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- 5"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 t="str">
        <f>Enginuity!$A$21</f>
        <v>Z-Louvre Blade - 5"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 t="str">
        <f>Enginuity!$A$22</f>
        <v>▼ [Lattice]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>
        <f>IF(AND(Enginuity!$B$6&gt;0, Enginuity!$B$7&gt;0, Enginuity!$B$13&gt;0), ((2*Enginuity!$B$7*Enginuity!$B$13)+(2*Enginuity!$B$6))*2, "")</f>
        <v>360</v>
      </c>
      <c r="U286" s="104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87" s="104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>
        <f>IF(OR(Enginuity!$B$7="",Enginuity!$B$13=""),"",
Enginuity!$B$13*
IF(Enginuity!$B$7&lt;=7,3,
IF(Enginuity!$B$7&lt;=9,4,
IF(Enginuity!$B$7&lt;=11,5,6))))</f>
        <v>35</v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>
        <f>Enginuity!$B$13</f>
        <v>7</v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40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>
        <f>IF(Enginuity!$B$13-1=0, "", Enginuity!$B$13-1)</f>
        <v>6</v>
      </c>
      <c r="U294" s="104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>
        <f>IF(Enginuity!$B$13-1=0, "", Enginuity!$B$13-1)</f>
        <v>6</v>
      </c>
      <c r="U295" s="104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40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40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60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344" s="104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60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 xml:space="preserve">2" Louver Blade N/A 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20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2" Louver Blade P/C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>
        <f>(Enginuity!$B$13 - 1) * Enginuity!$B$7</f>
        <v>60</v>
      </c>
      <c r="U347" s="104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 xml:space="preserve">5" Louver Blade N/A 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- 5"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5" Louver Blade P/C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 t="str">
        <f>Enginuity!$A$21</f>
        <v>Z-Louvre Blade - 5"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/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 t="str">
        <f>Enginuity!$A$22</f>
        <v>▼ [Lattice]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/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/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/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/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60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20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>
        <f>(Enginuity!$B$13 - 1) * Enginuity!$B$7</f>
        <v>60</v>
      </c>
      <c r="U357" s="104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- 5"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 t="str">
        <f>Enginuity!$A$21</f>
        <v>Z-Louvre Blade - 5"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 t="str">
        <f>Enginuity!$A$22</f>
        <v>▼ [Lattice]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>
        <f>IF(AND(Enginuity!$B$6&gt;0, Enginuity!$B$7&gt;0, Enginuity!$B$13&gt;0), ((2*Enginuity!$B$7*Enginuity!$B$13)+(2*Enginuity!$B$6))*2, "")</f>
        <v>360</v>
      </c>
      <c r="U390" s="104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391" s="104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60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 xml:space="preserve">2" Louver Blade N/A 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20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2" Louver Blade P/C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>
        <f>(Enginuity!$B$13 - 1) * Enginuity!$B$7</f>
        <v>60</v>
      </c>
      <c r="U396" s="104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 xml:space="preserve">5" Louver Blade N/A 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- 5"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5" Louver Blade P/C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 t="str">
        <f>Enginuity!$A$21</f>
        <v>Z-Louvre Blade - 5"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/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 t="str">
        <f>Enginuity!$A$22</f>
        <v>▼ [Lattice]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/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/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/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/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60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20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>
        <f>(Enginuity!$B$13 - 1) * Enginuity!$B$7</f>
        <v>60</v>
      </c>
      <c r="U406" s="104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- 5"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 t="str">
        <f>Enginuity!$A$21</f>
        <v>Z-Louvre Blade - 5"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 t="str">
        <f>Enginuity!$A$22</f>
        <v>▼ [Lattice]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>
        <f>IF(AND(Enginuity!$B$6&gt;0, Enginuity!$B$7&gt;0, Enginuity!$B$13&gt;0), ((2*Enginuity!$B$7*Enginuity!$B$13)+(2*Enginuity!$B$6))*2, "")</f>
        <v>360</v>
      </c>
      <c r="U439" s="104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440" s="104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>
        <f>Enginuity!$B$7*(Enginuity!$B$13+1)</f>
        <v>80</v>
      </c>
      <c r="U443" s="104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 xml:space="preserve">2" Louver Blade N/A 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2" Louver Blade P/C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20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 xml:space="preserve">5" Louver Blade N/A 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10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5" Louver Blade P/C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60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/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100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/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200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/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200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/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200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/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200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>
        <f>Enginuity!$B$7*(Enginuity!$B$13+1)</f>
        <v>80</v>
      </c>
      <c r="U455" s="104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 xml:space="preserve">2" Louver Blade N/A 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2" Louver Blade P/C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20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 xml:space="preserve">5" Louver Blade N/A 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10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5" Louver Blade P/C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60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/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100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/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200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/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200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/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200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/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200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>
        <f>Enginuity!$B$7*Enginuity!$B$13</f>
        <v>70</v>
      </c>
      <c r="U467" s="104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20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 xml:space="preserve">2" Louver Blade N/A 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60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2" Louver Blade P/C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200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 xml:space="preserve">5" Louver Blade N/A 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60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5" Louver Blade P/C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60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/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60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/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200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/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>
        <f>Enginuity!$B$7*Enginuity!$B$13</f>
        <v>70</v>
      </c>
      <c r="U475" s="104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/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200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/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200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200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>
        <f>Enginuity!$B$13 * Enginuity!$B$7</f>
        <v>70</v>
      </c>
      <c r="U481" s="104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 xml:space="preserve">2" Louver Blade N/A 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5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2" Louver Blade P/C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4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 xml:space="preserve">5" Louver Blade N/A 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4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5" Louver Blade P/C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60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/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12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/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12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/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60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/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/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>
        <f>Enginuity!$B$13 * Enginuity!$B$7</f>
        <v>70</v>
      </c>
      <c r="U492" s="104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 xml:space="preserve">2" Louver Blade N/A 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7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2" Louver Blade P/C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>
        <f>ROUNDUP(Enginuity!B6 * 304.8 / Enginuity!B15, 0) * 2</f>
        <v>14</v>
      </c>
      <c r="U494" s="104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 xml:space="preserve">5" Louver Blade N/A 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16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5" Louver Blade P/C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16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/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>
        <f>ROUNDUP(Enginuity!B6 * 304.8 / Enginuity!B15, 0) * 8</f>
        <v>56</v>
      </c>
      <c r="U497" s="104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/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60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 xml:space="preserve">2" Louver Blade N/A 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2" Louver Blade P/C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>
        <f>ROUNDUP((Enginuity!$B$6*2 + Enginuity!$B$13*2*Enginuity!$B$7)/3, 0)</f>
        <v>60</v>
      </c>
      <c r="U503" s="104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 xml:space="preserve">5" Louver Blade N/A 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5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5" Louver Blade P/C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>
        <f>ROUNDUP((((Enginuity!$B$13-1)*Enginuity!$B$7)*2/32.8)*1.1, 0)</f>
        <v>5</v>
      </c>
      <c r="U505" s="104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/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/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60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>
        <f>ROUNDUP((Enginuity!$B$6*2 + Enginuity!$B$13*2*Enginuity!$B$7)/3, 0)</f>
        <v>60</v>
      </c>
      <c r="U510" s="104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5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>
        <f>ROUNDUP((((Enginuity!$B$13-1)*Enginuity!$B$7)*2/32.8)*1.1, 0)</f>
        <v>5</v>
      </c>
      <c r="U512" s="104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 xml:space="preserve">2" Louver Blade N/A 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>
        <f>Enginuity!$B$13</f>
        <v>7</v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2" Louver Blade P/C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>
        <f>Enginuity!$B$13</f>
        <v>7</v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 xml:space="preserve">5" Louver Blade N/A 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5" Louver Blade P/C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/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/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60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 xml:space="preserve">2" Louver Blade N/A 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>
        <f>$Q$3</f>
        <v>180</v>
      </c>
      <c r="U542" s="104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2" Louver Blade P/C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 xml:space="preserve">5" Louver Blade N/A 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>
        <f>$Q$6</f>
        <v>60</v>
      </c>
      <c r="U544" s="104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5" Louver Blade P/C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>
        <f>$Q$3</f>
        <v>180</v>
      </c>
      <c r="U545" s="104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/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>
        <f>Enginuity!$B$7*Enginuity!$B$13</f>
        <v>70</v>
      </c>
      <c r="U546" s="104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/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 t="str">
        <f>Enginuity!$A$20</f>
        <v>Z-Louvre Blade - 5"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 t="str">
        <f>Enginuity!$A$21</f>
        <v>Z-Louvre Blade - 5"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60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>
        <f>IF(AND(Enginuity!$B$6&gt;0, Enginuity!$B$7&gt;0, Enginuity!$B$13&gt;0), (2 * Enginuity!$B$7 * Enginuity!$B$13) + (2 * Enginuity!$B$6), "")</f>
        <v>180</v>
      </c>
      <c r="U572" s="104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>
        <f>IF(AND(Enginuity!$B$6&gt;0, Enginuity!$B$7&gt;0, Enginuity!$B$13&gt;0), ((2*Enginuity!$B$7*Enginuity!$B$13)+(2*Enginuity!$B$6))*2, "")</f>
        <v>360</v>
      </c>
      <c r="U573" s="104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574" s="104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>
        <f>Enginuity!$B$13*IF(TRIM(Enginuity!$A$21)="1'H X ?'W X Qty Panel Top Hung (Casement Profile)",2,1)</f>
        <v>7</v>
      </c>
      <c r="U575" s="104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>
        <f>Enginuity!$B$13*IF(TRIM(Enginuity!$A$21)="1'H X ?'W X Qty Panel Top Hung (Casement Profile)",2,1)</f>
        <v>7</v>
      </c>
      <c r="U576" s="104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>
        <f>IF(AND(ISNUMBER(Enginuity!$B$13), Enginuity!$B$13&gt;0), Enginuity!$B$13*4, "")</f>
        <v>28</v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>
        <f>IF(AND(ISNUMBER(Enginuity!$B$13), Enginuity!$B$13&gt;0), Enginuity!$B$13*4, "")</f>
        <v>28</v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>
        <f>Enginuity!$B$13*4</f>
        <v>28</v>
      </c>
      <c r="U580" s="104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>
        <f>Enginuity!$B$13*
 IF(Enginuity!$B$7&lt;5,2,
 IF(Enginuity!$B$7&lt;6,3,
 IF(Enginuity!$B$7&lt;=7,4,5)))</f>
        <v>35</v>
      </c>
      <c r="U581" s="104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>
        <f>Enginuity!$B$13*
 IF(Enginuity!$B$7&lt;5,2,
 IF(Enginuity!$B$7&lt;6,3,
 IF(Enginuity!$B$7&lt;=7,4,5)))</f>
        <v>35</v>
      </c>
      <c r="U582" s="104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>
        <f>Enginuity!$B$13*2</f>
        <v>14</v>
      </c>
      <c r="U583" s="104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>
        <f>Enginuity!$B$13*2</f>
        <v>14</v>
      </c>
      <c r="U584" s="104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>
        <f>Enginuity!$B$13*1</f>
        <v>7</v>
      </c>
      <c r="U585" s="104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60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 xml:space="preserve">2" Louver Blade N/A 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>
        <f>$Q$3</f>
        <v>180</v>
      </c>
      <c r="U591" s="104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2" Louver Blade P/C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 xml:space="preserve">5" Louver Blade N/A 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>
        <f>$Q$6</f>
        <v>60</v>
      </c>
      <c r="U593" s="104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5" Louver Blade P/C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>
        <f>Enginuity!$B$7*Enginuity!$B$13</f>
        <v>70</v>
      </c>
      <c r="U594" s="104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/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/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 t="str">
        <f>Enginuity!$A$20</f>
        <v>Z-Louvre Blade - 5"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 t="str">
        <f>Enginuity!$A$21</f>
        <v>Z-Louvre Blade - 5"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60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>
        <f>IF(AND(Enginuity!$B$6&gt;0, Enginuity!$B$7&gt;0, Enginuity!$B$13&gt;0), (2 * Enginuity!$B$7 * Enginuity!$B$13) + (2 * Enginuity!$B$6), "")</f>
        <v>180</v>
      </c>
      <c r="U621" s="104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>
        <f>IF(AND(Enginuity!$B$6&gt;0, Enginuity!$B$7&gt;0, Enginuity!$B$13&gt;0), ((2*Enginuity!$B$7*Enginuity!$B$13)+(2*Enginuity!$B$6))*2, "")</f>
        <v>360</v>
      </c>
      <c r="U622" s="104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623" s="104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>
        <f>Enginuity!$B$13*IF(TRIM(Enginuity!$A$21)="1'H X ?'W X Qty Panel Top Hung (Casement Profile)",2,1)</f>
        <v>7</v>
      </c>
      <c r="U624" s="104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>
        <f>Enginuity!$B$13*IF(TRIM(Enginuity!$A$21)="1'H X ?'W X Qty Panel Top Hung (Casement Profile)",2,1)</f>
        <v>7</v>
      </c>
      <c r="U625" s="104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>
        <f>IF(AND(ISNUMBER(Enginuity!$B$13), Enginuity!$B$13&gt;0), Enginuity!$B$13*4, "")</f>
        <v>28</v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>
        <f>Enginuity!$B$13*
 IF(Enginuity!$B$7&lt;5,2,
 IF(Enginuity!$B$7&lt;6,3,
 IF(Enginuity!$B$7&lt;=7,4,5)))</f>
        <v>35</v>
      </c>
      <c r="U628" s="104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>
        <f>Enginuity!$B$13*
 IF(Enginuity!$B$7&lt;5,2,
 IF(Enginuity!$B$7&lt;6,3,
 IF(Enginuity!$B$7&lt;=7,4,5)))</f>
        <v>35</v>
      </c>
      <c r="U629" s="104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>
        <f>Enginuity!$B$13*2</f>
        <v>14</v>
      </c>
      <c r="U630" s="104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>
        <f>Enginuity!$B$13*2</f>
        <v>14</v>
      </c>
      <c r="U631" s="104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>
        <f>Enginuity!$B$13*1</f>
        <v>7</v>
      </c>
      <c r="U632" s="104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60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 xml:space="preserve">2" Louver Blade N/A 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>
        <f>$Q$3</f>
        <v>180</v>
      </c>
      <c r="U640" s="104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2" Louver Blade P/C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 xml:space="preserve">5" Louver Blade N/A 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>
        <f>$Q$6</f>
        <v>60</v>
      </c>
      <c r="U642" s="104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5" Louver Blade P/C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/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>
        <f>Enginuity!$B$7*Enginuity!$B$13</f>
        <v>70</v>
      </c>
      <c r="U644" s="104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/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 t="str">
        <f>Enginuity!$A$20</f>
        <v>Z-Louvre Blade - 5"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 t="str">
        <f>Enginuity!$A$21</f>
        <v>Z-Louvre Blade - 5"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60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>
        <f>IF(AND(Enginuity!$B$6&gt;0, Enginuity!$B$7&gt;0, Enginuity!$B$13&gt;0), (2 * Enginuity!$B$7 * Enginuity!$B$13) + (2 * Enginuity!$B$6), "")</f>
        <v>180</v>
      </c>
      <c r="U670" s="104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>
        <f>IF(AND(Enginuity!$B$6&gt;0, Enginuity!$B$7&gt;0, Enginuity!$B$13&gt;0), ((2*Enginuity!$B$7*Enginuity!$B$13)+(2*Enginuity!$B$6))*2, "")</f>
        <v>360</v>
      </c>
      <c r="U671" s="104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672" s="104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>
        <f>Enginuity!$B$13*IF(TRIM(Enginuity!$A$21)="1'H X ?'W X Qty Panel Top Hung (Casement Profile)",2,1)</f>
        <v>7</v>
      </c>
      <c r="U673" s="104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>
        <f>Enginuity!$B$13*IF(TRIM(Enginuity!$A$21)="1'H X ?'W X Qty Panel Top Hung (Casement Profile)",2,1)</f>
        <v>7</v>
      </c>
      <c r="U674" s="104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>
        <f>IF(AND(ISNUMBER(Enginuity!$B$13), Enginuity!$B$13&gt;0), Enginuity!$B$13*4, "")</f>
        <v>28</v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>
        <f>Enginuity!$B$13*
 IF(Enginuity!$B$7&lt;5,2,
 IF(Enginuity!$B$7&lt;6,3,
 IF(Enginuity!$B$7&lt;=7,4,5)))</f>
        <v>35</v>
      </c>
      <c r="U677" s="104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>
        <f>Enginuity!$B$13*
 IF(Enginuity!$B$7&lt;5,2,
 IF(Enginuity!$B$7&lt;6,3,
 IF(Enginuity!$B$7&lt;=7,4,5)))</f>
        <v>35</v>
      </c>
      <c r="U678" s="104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>
        <f>Enginuity!$B$13*2</f>
        <v>14</v>
      </c>
      <c r="U679" s="104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>
        <f>Enginuity!$B$13*2</f>
        <v>14</v>
      </c>
      <c r="U680" s="104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>
        <f>Enginuity!$B$13*1</f>
        <v>7</v>
      </c>
      <c r="U681" s="104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1782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20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 xml:space="preserve">2" Louver Blade N/A 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20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2" Louver Blade P/C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20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 xml:space="preserve">5" Louver Blade N/A 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>
        <f>$Q$3</f>
        <v>180</v>
      </c>
      <c r="U691" s="104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5" Louver Blade P/C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20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/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>
        <f>Enginuity!$B$7*Enginuity!$B$13</f>
        <v>70</v>
      </c>
      <c r="U693" s="104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/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- 5"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 t="str">
        <f>Enginuity!$A$21</f>
        <v>Z-Louvre Blade - 5"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 t="str">
        <f>Enginuity!$A$22</f>
        <v>▼ [Lattice]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60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>
        <f>IF(AND(Enginuity!$B$6&gt;0, Enginuity!$B$7&gt;0, Enginuity!$B$13&gt;0), (2 * Enginuity!$B$7 * Enginuity!$B$13) + (2 * Enginuity!$B$6), "")</f>
        <v>180</v>
      </c>
      <c r="U719" s="104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>
        <f>IF(AND(Enginuity!$B$6&gt;0, Enginuity!$B$7&gt;0, Enginuity!$B$13&gt;0), ((2*Enginuity!$B$7*Enginuity!$B$13)+(2*Enginuity!$B$6))*2, "")</f>
        <v>360</v>
      </c>
      <c r="U720" s="104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721" s="104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>
        <f>IF(MOD(Enginuity!$B$13,2)=1,1,0)</f>
        <v>1</v>
      </c>
      <c r="U722" s="104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>
        <f>FLOOR(Enginuity!$B$13/2,1)</f>
        <v>3</v>
      </c>
      <c r="U723" s="104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>
        <f>IF(AND(ISNUMBER(Enginuity!$B$13), Enginuity!$B$13&gt;0), Enginuity!$B$13*4, "")</f>
        <v>28</v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>
        <f>FLOOR(Enginuity!$B$13/2,1)</f>
        <v>3</v>
      </c>
      <c r="U725" s="104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>
        <f>(Enginuity!$B$13*
  IF(Enginuity!$B$7&lt;=7,3,
  IF(Enginuity!$B$7&lt;=9,4,
  IF(Enginuity!$B$7&lt;=11,5,6))))
  - (2*FLOOR((Enginuity!$B$13-1)/2,1))</f>
        <v>29</v>
      </c>
      <c r="U726" s="104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>
        <f>FLOOR(Enginuity!$B$13/2,1)</f>
        <v>3</v>
      </c>
      <c r="U727" s="104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>
        <f>(FLOOR(Enginuity!$B$13/2,1)*2)+IF(MOD(Enginuity!$B$13,2)=1,2,0)</f>
        <v>8</v>
      </c>
      <c r="U728" s="104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20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 xml:space="preserve">2" Louver Blade N/A 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20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2" Louver Blade P/C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20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 xml:space="preserve">5" Louver Blade N/A 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40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5" Louver Blade P/C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40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/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20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/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20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20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>
        <f>IF(AND(Enginuity!$B$7&gt;0, Enginuity!$B$13&gt;0), Enginuity!$B$7 * Enginuity!$B$13, "")</f>
        <v>70</v>
      </c>
      <c r="U745" s="104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>
        <f>IF(AND(Enginuity!$B$7&gt;0, Enginuity!$B$13&gt;0), Enginuity!$B$7 * Enginuity!$B$13, "")</f>
        <v>70</v>
      </c>
      <c r="U746" s="104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20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- 5"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 t="str">
        <f>Enginuity!$A$21</f>
        <v>Z-Louvre Blade - 5"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60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>
        <f>IF(AND(Enginuity!$B$6&gt;0, Enginuity!$B$7&gt;0, Enginuity!$B$13&gt;0), (2 * Enginuity!$B$7 * Enginuity!$B$13) + (2 * Enginuity!$B$6), "")</f>
        <v>180</v>
      </c>
      <c r="U758" s="104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>
        <f>IF(AND(Enginuity!$B$6&gt;0, Enginuity!$B$7&gt;0, Enginuity!$B$13&gt;0), ((2*Enginuity!$B$7*Enginuity!$B$13)+(2*Enginuity!$B$6))*2, "")</f>
        <v>360</v>
      </c>
      <c r="U759" s="104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760" s="104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>
        <f>IF(AND(ISNUMBER(Enginuity!$B$13), Enginuity!$B$13&gt;0), Enginuity!$B$13*4, "")</f>
        <v>28</v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>
        <f>Enginuity!$B$13</f>
        <v>7</v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>
        <f>Enginuity!$B$13*2</f>
        <v>14</v>
      </c>
      <c r="U766" s="104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>
        <f>Enginuity!$B$13*4</f>
        <v>28</v>
      </c>
      <c r="U768" s="104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>
        <f>Enginuity!$B$13*2</f>
        <v>14</v>
      </c>
      <c r="U769" s="104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20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 xml:space="preserve">2" Louver Blade N/A 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20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2" Louver Blade P/C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20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 xml:space="preserve">5" Louver Blade N/A 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40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5" Louver Blade P/C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40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/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20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/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20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20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>
        <f>IF(AND(Enginuity!$B$7&gt;0, Enginuity!$B$13&gt;0), Enginuity!$B$7 * Enginuity!$B$13, "")</f>
        <v>70</v>
      </c>
      <c r="U794" s="104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>
        <f>IF(AND(Enginuity!$B$7&gt;0, Enginuity!$B$13&gt;0), Enginuity!$B$7 * Enginuity!$B$13, "")</f>
        <v>70</v>
      </c>
      <c r="U795" s="104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20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- 5"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 t="str">
        <f>Enginuity!$A$21</f>
        <v>Z-Louvre Blade - 5"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60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>
        <f>IF(AND(Enginuity!$B$6&gt;0, Enginuity!$B$7&gt;0, Enginuity!$B$13&gt;0), (2 * Enginuity!$B$7 * Enginuity!$B$13) + (2 * Enginuity!$B$6), "")</f>
        <v>180</v>
      </c>
      <c r="U807" s="104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>
        <f>IF(AND(Enginuity!$B$6&gt;0, Enginuity!$B$7&gt;0, Enginuity!$B$13&gt;0), ((2*Enginuity!$B$7*Enginuity!$B$13)+(2*Enginuity!$B$6))*2, "")</f>
        <v>360</v>
      </c>
      <c r="U808" s="104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809" s="104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>
        <f>IF(AND(ISNUMBER(Enginuity!$B$13), Enginuity!$B$13&gt;0), Enginuity!$B$13*4, "")</f>
        <v>28</v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4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>
        <f>Enginuity!$B$13*4</f>
        <v>28</v>
      </c>
      <c r="U816" s="104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200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 xml:space="preserve">2" Louver Blade N/A 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>
        <f>Enginuity!$B$7*Enginuity!$B$13</f>
        <v>70</v>
      </c>
      <c r="U836" s="104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2" Louver Blade P/C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>
        <f>(Enginuity!$B$6/Enginuity!$B$13 + Enginuity!$B$7)*2*Enginuity!$B$13</f>
        <v>180</v>
      </c>
      <c r="U837" s="104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 xml:space="preserve">5" Louver Blade N/A 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>
        <f>ROUNDUP(((Enginuity!$B$13-1)*Enginuity!$B$7)/32.8, 0)</f>
        <v>2</v>
      </c>
      <c r="U838" s="104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5" Louver Blade P/C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8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/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W/G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/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10</v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60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>
        <f>$Q$3</f>
        <v>180</v>
      </c>
      <c r="U885" s="104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>
        <f>IF(AND(Enginuity!$B$7&gt;0, Enginuity!$B$13&gt;1), (Enginuity!$B$13 - 1) * Enginuity!$B$7, "")</f>
        <v>60</v>
      </c>
      <c r="U886" s="104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40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600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>
        <f>ROUNDUP((Enginuity!$B$6*2 + Enginuity!$B$13*2*Enginuity!$B$7)/3, 0)</f>
        <v>60</v>
      </c>
      <c r="U892" s="104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>
        <f>Enginuity!$B$6*2 + Enginuity!$B$13*2*Enginuity!$B$7</f>
        <v>180</v>
      </c>
      <c r="U893" s="104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40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40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180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10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20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600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>
        <f>ROUNDUP((Enginuity!$B$6*2 + Enginuity!$B$13*2*Enginuity!$B$7)/3, 0)</f>
        <v>60</v>
      </c>
      <c r="U909" s="104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>
        <f>Enginuity!$B$13 *
 IF(Enginuity!$B$7&lt;8,3,
 IF(Enginuity!$B$7&lt;10,4,
 IF(Enginuity!$B$7&lt;12,5,
 6)))</f>
        <v>35</v>
      </c>
      <c r="U911" s="104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200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100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40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20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20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20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40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180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600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600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0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>
        <f>ROUNDUP((Enginuity!$B$6*2 + Enginuity!$B$13*2*Enginuity!$B$7)/3, 0)</f>
        <v>60</v>
      </c>
      <c r="U942" s="104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14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200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100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0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200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W/G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 xml:space="preserve">2" Louver Blade N/A 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>
        <f>IF(Enginuity!$A$17="", "", Enginuity!$B$13)</f>
        <v>7</v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2" Louver Blade P/C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3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 xml:space="preserve">5" Louver Blade N/A 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>
        <f>IF(Enginuity!$A$17="", "", Enginuity!$B$13)</f>
        <v>7</v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5" Louver Blade P/C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/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/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W/G</v>
      </c>
      <c r="Q990" s="83">
        <f>IFERROR(
  IF(OR(Enginuity!$B$6="",Enginuity!$B$7=""),"",
     VALUE(Enginuity!$B$6)*VALUE(Enginuity!$B$7) - N(Q998)
  ),
"")</f>
        <v>200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 xml:space="preserve">2" Louver Blade N/A 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>
        <f>IFERROR(
  IF(OR(Enginuity!$B$7="",Enginuity!$B$13="",Enginuity!$B$13=0),"",
     N(Enginuity!$B$13) * IF(N(Enginuity!$B$7)&gt;8, 2, 1)
  ),
"")</f>
        <v>14</v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2" Louver Blade P/C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>
        <f>Enginuity!$B$13</f>
        <v>7</v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 xml:space="preserve">5" Louver Blade N/A 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5" Louver Blade P/C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3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/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>
        <f>SUMPRODUCT(O998:O1001, Q998:Q1001)</f>
        <v>188.5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/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504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/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/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/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>
        <f>ROUNDUP((Enginuity!$B$6*2 + Enginuity!$B$13*2*Enginuity!$B$7)/3, 0)</f>
        <v>60</v>
      </c>
      <c r="U999" s="104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5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>
        <f>IF(Enginuity!$B$15&gt;1200, 3*Enginuity!$B$13, 2*Enginuity!$B$13)</f>
        <v>14</v>
      </c>
      <c r="U1001" s="104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W/G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 xml:space="preserve">2" Louver Blade N/A 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>
        <f>ROUNDUP((Enginuity!$B$6*2 + Enginuity!$B$13*2*Enginuity!$B$7)/3, 0)</f>
        <v>60</v>
      </c>
      <c r="U1005" s="104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2" Louver Blade P/C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5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 xml:space="preserve">5" Louver Blade N/A 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>
        <f>IF(Enginuity!$B$15&gt;1200, 3*Enginuity!$B$13, 2*Enginuity!$B$13)</f>
        <v>14</v>
      </c>
      <c r="U1007" s="104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0"/>
      <c r="C1008" s="17"/>
      <c r="D1008" s="18" t="str">
        <v>5" Louver Blade P/C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4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W/G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 xml:space="preserve">2" Louver Blade N/A 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2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2" Louver Blade P/C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>
        <f>ROUNDUP((Enginuity!$B$6*2 + Enginuity!$B$13*2*Enginuity!$B$7)/3, 0)</f>
        <v>60</v>
      </c>
      <c r="U1017" s="104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 xml:space="preserve">5" Louver Blade N/A 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5" Louver Blade P/C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3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3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>
        <f>IF(Enginuity!$B$15&gt;1200, 3*Enginuity!$B$13, 2*Enginuity!$B$13)</f>
        <v>14</v>
      </c>
      <c r="U1021" s="104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40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 xml:space="preserve">2" Louver Blade N/A 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20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2" Louver Blade P/C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>
        <f>IF(AND(Enginuity!$B$7&gt;0, Enginuity!$B$13&gt;1), (Enginuity!$B$13 - 1) * Enginuity!$B$7, "")</f>
        <v>60</v>
      </c>
      <c r="U1029" s="104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 xml:space="preserve">5" Louver Blade N/A 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5" Louver Blade P/C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2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- 5"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10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2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20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40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 xml:space="preserve">2" Louver Blade N/A 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20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2" Louver Blade P/C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>
        <f>IF(AND(Enginuity!$B$7&gt;0, Enginuity!$B$13&gt;1), (Enginuity!$B$13 - 1) * Enginuity!$B$7, "")</f>
        <v>60</v>
      </c>
      <c r="U1049" s="104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 xml:space="preserve">5" Louver Blade N/A 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5" Louver Blade P/C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- 5"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10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2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20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40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7</v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 t="str">
        <f>Enginuity!$A$20</f>
        <v>Z-Louvre Blade - 5"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Z-Louvre Blade - 5"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 t="str">
        <f>Enginuity!$A$22</f>
        <v>▼ [Lattice]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40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7</v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 t="str">
        <f>Enginuity!$A$20</f>
        <v>Z-Louvre Blade - 5"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Z-Louvre Blade - 5"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 t="str">
        <f>Enginuity!$A$22</f>
        <v>▼ [Lattice]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40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7</v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 t="str">
        <f>Enginuity!$A$20</f>
        <v>Z-Louvre Blade - 5"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Z-Louvre Blade - 5"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 t="str">
        <f>Enginuity!$A$22</f>
        <v>▼ [Lattice]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60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 xml:space="preserve">2" Louver Blade N/A 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>
        <f>$Q$3</f>
        <v>180</v>
      </c>
      <c r="U1123" s="104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2" Louver Blade P/C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 xml:space="preserve">5" Louver Blade N/A 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>
        <f>$Q$6</f>
        <v>60</v>
      </c>
      <c r="U1125" s="104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5" Louver Blade P/C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- 5"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60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>
        <f>$Q$3</f>
        <v>180</v>
      </c>
      <c r="U1131" s="104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>
        <f>$Q$6</f>
        <v>60</v>
      </c>
      <c r="U1133" s="104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- 5"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>
        <f>IF(AND(Enginuity!$B$6&gt;0, Enginuity!$B$7&gt;0, Enginuity!$B$13&gt;0), (2 * Enginuity!$B$7 * Enginuity!$B$13) + (2 * Enginuity!$B$6), "")</f>
        <v>180</v>
      </c>
      <c r="U1152" s="104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153" s="104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>
        <f>IF(AND(Enginuity!$B$7&gt;0, Enginuity!$B$13&gt;1), (Enginuity!$B$13 - 1) * 2, "")</f>
        <v>12</v>
      </c>
      <c r="U1154" s="104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40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7</v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 t="str">
        <f>Enginuity!$A$20</f>
        <v>Z-Louvre Blade - 5"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Z-Louvre Blade - 5"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 t="str">
        <f>Enginuity!$A$22</f>
        <v>▼ [Lattice]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40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7</v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 t="str">
        <f>Enginuity!$A$20</f>
        <v>Z-Louvre Blade - 5"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Z-Louvre Blade - 5"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 t="str">
        <f>Enginuity!$A$22</f>
        <v>▼ [Lattice]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121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40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 t="str">
        <f>Enginuity!$A$20</f>
        <v>Z-Louvre Blade - 5"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Z-Louvre Blade - 5"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4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4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803.72249999999997</v>
      </c>
      <c r="P1221" s="106" t="str">
        <f>Enginuity!$A$22</f>
        <v>▼ [Lattice]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255.15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 t="str">
        <f>Enginuity!$A$21</f>
        <v>Z-Louvre Blade - 5"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20</v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40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 t="str">
        <f>Enginuity!$A$20</f>
        <v>Z-Louvre Blade - 5"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Z-Louvre Blade - 5"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4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4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 t="str">
        <f>Enginuity!$A$22</f>
        <v>▼ [Lattice]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 t="str">
        <f>Enginuity!$A$22</f>
        <v>▼ [Lattice]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 t="str">
        <f>Enginuity!$A$22</f>
        <v>▼ [Lattice]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 t="str">
        <f>Enginuity!$A$22</f>
        <v>▼ [Lattice]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 t="str">
        <f>Enginuity!$A$22</f>
        <v>▼ [Lattice]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 t="str">
        <f>Enginuity!$A$22</f>
        <v>▼ [Lattice]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60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60</v>
      </c>
      <c r="M1425" s="89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60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60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60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60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60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60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60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60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60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60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 xml:space="preserve">2" Louver Blade N/A 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2" Louver Blade P/C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 xml:space="preserve">5" Louver Blade N/A 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5" Louver Blade P/C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200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- 5"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20</v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40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7</v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 t="str">
        <f>Enginuity!$A$20</f>
        <v>Z-Louvre Blade - 5"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Z-Louvre Blade - 5"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 t="str">
        <f>Enginuity!$A$22</f>
        <v>▼ [Lattice]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38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40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7</v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 t="str">
        <f>Enginuity!$A$20</f>
        <v>Z-Louvre Blade - 5"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Z-Louvre Blade - 5"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 t="str">
        <f>Enginuity!$A$22</f>
        <v>▼ [Lattice]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>
        <f>IF(OR(Enginuity!$B$6="",Enginuity!$B$7="",Enginuity!$B$13=""),"",
   CEILING(
      (((Enginuity!$B$7*2)+(Enginuity!$B$6*2)) * Enginuity!$B$13) / 20.013,
      1
   )
)</f>
        <v>21</v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 xml:space="preserve">2" Louver Blade N/A 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>
        <f>IF(OR(Enginuity!$B$6="",Enginuity!$B$7="",Enginuity!$B$13=""),"",
   CEILING(
      (((Enginuity!$B$7*2)+(Enginuity!$B$6*2)) * Enginuity!$B$13) / 20.013,
      1
   )
)</f>
        <v>21</v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2" Louver Blade P/C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200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 xml:space="preserve">5" Louver Blade N/A 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>
        <f>IF(AND(Enginuity!$B$6&gt;0, Enginuity!$B$7&gt;0, Enginuity!$B$13&gt;0), ((2*Enginuity!$B$7*Enginuity!$B$13)+(2*Enginuity!$B$6))*2, "")</f>
        <v>360</v>
      </c>
      <c r="U1613" s="104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9"/>
      <c r="C1614" s="14"/>
      <c r="D1614" s="14" t="str">
        <v>5" Louver Blade P/C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60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>
        <f>IF(AND(Enginuity!$B$6&gt;0, Enginuity!$B$7&gt;0, Enginuity!$B$13&gt;0), (2 * Enginuity!$B$7 * Enginuity!$B$13) + (2 * Enginuity!$B$6), "")</f>
        <v>180</v>
      </c>
      <c r="U1620" s="104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>
        <f>IF(AND(Enginuity!$B$6&gt;0, Enginuity!$B$7&gt;0, Enginuity!$B$13&gt;0), ((2*Enginuity!$B$7*Enginuity!$B$13)+(2*Enginuity!$B$6))*2, "")</f>
        <v>360</v>
      </c>
      <c r="U1621" s="104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622" s="104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>
        <f>Enginuity!$B$13*IF(TRIM(Enginuity!$A$21)="1'H X ?'W X Qty Panel Top Hung (Casement Profile)",2,1)</f>
        <v>7</v>
      </c>
      <c r="U1623" s="104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>
        <f>Enginuity!$B$13*IF(TRIM(Enginuity!$A$21)="1'H X ?'W X Qty Panel Top Hung (Casement Profile)",2,1)</f>
        <v>7</v>
      </c>
      <c r="U1624" s="104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>
        <f>IF(AND(ISNUMBER(Enginuity!$B$13), Enginuity!$B$13&gt;0), Enginuity!$B$13*4, "")</f>
        <v>28</v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>
        <f>IF(AND(ISNUMBER(Enginuity!$B$13), Enginuity!$B$13&gt;0), Enginuity!$B$13*4, "")</f>
        <v>28</v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>
        <f>Enginuity!$B$13*4</f>
        <v>28</v>
      </c>
      <c r="U1628" s="104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>
        <f>Enginuity!$B$13*
 IF(Enginuity!$B$7&lt;5,2,
 IF(Enginuity!$B$7&lt;6,3,
 IF(Enginuity!$B$7&lt;=7,4,5)))</f>
        <v>35</v>
      </c>
      <c r="U1629" s="104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>
        <f>Enginuity!$B$13*
 IF(Enginuity!$B$7&lt;5,2,
 IF(Enginuity!$B$7&lt;6,3,
 IF(Enginuity!$B$7&lt;=7,4,5)))</f>
        <v>35</v>
      </c>
      <c r="U1630" s="104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>
        <f>Enginuity!$B$13*2</f>
        <v>14</v>
      </c>
      <c r="U1631" s="104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>
        <f>Enginuity!$B$13*2</f>
        <v>14</v>
      </c>
      <c r="U1632" s="104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>
        <f>Enginuity!$B$13*1</f>
        <v>7</v>
      </c>
      <c r="U1633" s="104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20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 xml:space="preserve">2" Louver Blade N/A 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20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2" Louver Blade P/C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20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 xml:space="preserve">5" Louver Blade N/A 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>
        <f>$Q$3</f>
        <v>180</v>
      </c>
      <c r="U1638" s="104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9" t="s">
        <v>965</v>
      </c>
      <c r="C1639" s="10" t="s">
        <v>97</v>
      </c>
      <c r="D1639" s="14" t="str">
        <v>5" Louver Blade P/C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20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>
        <f>Enginuity!$B$7*Enginuity!$B$13</f>
        <v>70</v>
      </c>
      <c r="U1640" s="104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- 5"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 t="str">
        <f>Enginuity!$A$21</f>
        <v>Z-Louvre Blade - 5"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60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>
        <f>IF(AND(Enginuity!$B$6&gt;0, Enginuity!$B$7&gt;0, Enginuity!$B$13&gt;0), (2 * Enginuity!$B$7 * Enginuity!$B$13) + (2 * Enginuity!$B$6), "")</f>
        <v>180</v>
      </c>
      <c r="U1666" s="104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>
        <f>IF(AND(Enginuity!$B$6&gt;0, Enginuity!$B$7&gt;0, Enginuity!$B$13&gt;0), ((2*Enginuity!$B$7*Enginuity!$B$13)+(2*Enginuity!$B$6))*2, "")</f>
        <v>360</v>
      </c>
      <c r="U1667" s="104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668" s="104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>
        <f>IF(MOD(Enginuity!$B$13,2)=1,1,0)</f>
        <v>1</v>
      </c>
      <c r="U1669" s="104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>
        <f>FLOOR(Enginuity!$B$13/2,1)</f>
        <v>3</v>
      </c>
      <c r="U1670" s="104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>
        <f>IF(AND(ISNUMBER(Enginuity!$B$13), Enginuity!$B$13&gt;0), Enginuity!$B$13*4, "")</f>
        <v>28</v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>
        <f>FLOOR(Enginuity!$B$13/2,1)</f>
        <v>3</v>
      </c>
      <c r="U1672" s="104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>
        <f>(Enginuity!$B$13*
  IF(Enginuity!$B$7&lt;=7,3,
  IF(Enginuity!$B$7&lt;=9,4,
  IF(Enginuity!$B$7&lt;=11,5,6))))
  - (2*FLOOR((Enginuity!$B$13-1)/2,1))</f>
        <v>29</v>
      </c>
      <c r="U1673" s="104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>
        <f>FLOOR(Enginuity!$B$13/2,1)</f>
        <v>3</v>
      </c>
      <c r="U1674" s="104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>
        <f>(FLOOR(Enginuity!$B$13/2,1)*2)+IF(MOD(Enginuity!$B$13,2)=1,2,0)</f>
        <v>8</v>
      </c>
      <c r="U1675" s="104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40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 xml:space="preserve">2" Louver Blade N/A 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>
        <f>IF(AND(Enginuity!$B$6&gt;0,Enginuity!$B$7&gt;0,Enginuity!$B$13&gt;0),
   ROUND(2*(Enginuity!$B$6+Enginuity!$B$7)*Enginuity!$B$13,2),
"")</f>
        <v>420</v>
      </c>
      <c r="U1685" s="104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2" Louver Blade P/C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10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 xml:space="preserve">5" Louver Blade N/A 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>
        <f>Enginuity!$B$7*Enginuity!$B$13</f>
        <v>70</v>
      </c>
      <c r="U1687" s="104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5" Louver Blade P/C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- 5"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/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/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 t="str">
        <f>Enginuity!$A$21</f>
        <v>Z-Louvre Blade - 5"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/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/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/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40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>
        <f>IF(OR(Enginuity!$B$6="",Enginuity!$B$7="",Enginuity!$B$13=""),"",
  2*(Enginuity!$B$6+Enginuity!$B$7)*Enginuity!$B$13*2
)</f>
        <v>840</v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1704" s="104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>
        <f>IF(MOD(Enginuity!$B$13,2)=1,1,0)</f>
        <v>1</v>
      </c>
      <c r="U1705" s="104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>
        <f>IF(AND(ISNUMBER(Enginuity!$B$13), Enginuity!$B$13&gt;0), Enginuity!$B$13*4, "")</f>
        <v>28</v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>
        <f>IF(OR(Enginuity!$B$7="",Enginuity!$B$13=""),"",
Enginuity!$B$13*
IF(Enginuity!$B$7&lt;=7,4,
IF(Enginuity!$B$7&lt;=9,5,
IF(Enginuity!$B$7&lt;=11,6,7))))</f>
        <v>42</v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>
        <f>IF(OR(Enginuity!$B$13="",Enginuity!$B$13&lt;2),"",Enginuity!$B$13-1)</f>
        <v>6</v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>
        <f>(FLOOR(Enginuity!$B$13/2,1)*2)+IF(MOD(Enginuity!$B$13,2)=1,2,0)</f>
        <v>8</v>
      </c>
      <c r="U1709" s="104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>
        <f>IF(OR(Enginuity!$B$13="",Enginuity!$B$13=0),"",Enginuity!$B$13*2)</f>
        <v>14</v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14051.4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1781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1772</v>
      </c>
      <c r="Q1733" s="83">
        <f>IF(AND(Enginuity!$B$6&gt;0, Enginuity!$B$7&gt;0), ROUND(((Enginuity!$B$6 + Enginuity!$B$7) * 2), 2), "")</f>
        <v>60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1771</v>
      </c>
      <c r="Q1734" s="83">
        <f>IF(AND(Enginuity!$B$6&gt;0,Enginuity!$B$7&gt;0,Enginuity!$B$13&gt;0),
   ROUND(2*(Enginuity!$B$6+Enginuity!$B$7)*Enginuity!$B$13,2),
"")</f>
        <v>420</v>
      </c>
      <c r="U1734" s="104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2" Louver Blade P/C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1773</v>
      </c>
      <c r="Q1735" s="83">
        <f>IF(AND(Enginuity!$B$6&gt;0,Enginuity!$B$7&gt;0,Enginuity!$B$13&gt;0),
   ROUND(2*(Enginuity!$B$6+Enginuity!$B$7)*Enginuity!$B$13,2),
"")</f>
        <v>420</v>
      </c>
      <c r="U1735" s="104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>
        <f>IF(OR(Enginuity!$B$7="",Enginuity!$B$13=""),"",Enginuity!$B$7*Enginuity!$B$13*2)</f>
        <v>140</v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5" Louver Blade P/C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1766</v>
      </c>
      <c r="Q1737" s="83">
        <f>IF(Enginuity!$B$13="","",Enginuity!$B$13)</f>
        <v>7</v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/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1774</v>
      </c>
      <c r="Q1738" s="83">
        <f>IF(Enginuity!$B$13="","",Enginuity!$B$13)</f>
        <v>7</v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/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1775</v>
      </c>
      <c r="Q1739" s="83">
        <f>IF(Enginuity!$B$13="","",Enginuity!$B$13)</f>
        <v>7</v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/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1776</v>
      </c>
      <c r="Q1740" s="83">
        <f>IF(OR(Enginuity!$B$13="",Enginuity!$B$13=0),"",Enginuity!$B$13*2)</f>
        <v>14</v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/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1777</v>
      </c>
      <c r="Q1741" s="83">
        <f>IF(Enginuity!$B$13="","",Enginuity!$B$13)</f>
        <v>7</v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/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1778</v>
      </c>
      <c r="Q1742" s="83">
        <f>IF(OR(Enginuity!$B$13="",Enginuity!$B$13=0),"",Enginuity!$B$13*8)</f>
        <v>56</v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1779</v>
      </c>
      <c r="Q1743" s="83">
        <f>IF(OR(Enginuity!$B$13="",Enginuity!$B$13=0),"",Enginuity!$B$13*8)</f>
        <v>56</v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1780</v>
      </c>
      <c r="Q1744" s="83">
        <f>IF(OR(Enginuity!$B$13="",Enginuity!$B$13=0),"",Enginuity!$B$13*2)</f>
        <v>14</v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>
        <f>IF(Enginuity!$B$13="","",Enginuity!$B$13*20)</f>
        <v>140</v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>
        <f>IF(Enginuity!$B$13="","",Enginuity!$B$13*20)</f>
        <v>140</v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>
        <f>IF(OR(Enginuity!$B$6="",Enginuity!$B$7="",Enginuity!$B$13=""),"",
  2*(Enginuity!$B$6+Enginuity!$B$7)*Enginuity!$B$13*2
)</f>
        <v>840</v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>
        <f>IF(OR(Enginuity!$B$6="",Enginuity!$B$7="",Enginuity!$B$13=""),"",
  2*(Enginuity!$B$6+Enginuity!$B$7)*Enginuity!$B$13*2
)</f>
        <v>840</v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W/G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>
        <f>IF(COUNTA(Q1733:Q1750,O1733:O1750)=0,"",SUMPRODUCT(Q1733:Q1750,O1733:O1750))</f>
        <v>14051.4</v>
      </c>
      <c r="Q1752" s="83"/>
      <c r="U1752" s="104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34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 xml:space="preserve">2" Louver Blade N/A 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34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2" Louver Blade P/C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238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 xml:space="preserve">5" Louver Blade N/A 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3">
        <f>IFERROR(MAX(1, ROUNDUP(VALUE(Enginuity!$B$13), 0)), 1)</f>
        <v>7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5" Louver Blade P/C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5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/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22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/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22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/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154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/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/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Delivery CTW / SF Partition / Z-Louvre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Delivery CTW / SF Partition / Z-Louvre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Delivery CTW / SF Partition / Z-Louvre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Delivery CTW / SF Partition / Z-Louvre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W/G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 xml:space="preserve">2" Louver Blade N/A 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2" Louver Blade P/C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 xml:space="preserve">5" Louver Blade N/A 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5" Louver Blade P/C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/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/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/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/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/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 xml:space="preserve">2" Louver Blade N/A 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32</v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2" Louver Blade P/C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>
        <f>IF(OR(Enginuity!$B$6="",Enginuity!$B$15=""),
   "",
   CEILING(
      (
         Enginuity!$B$6*304.8 +
         (MAX(0,ROUNDUP(Enginuity!$B$6*304.8/Enginuity!$B$15,0)-1))*1000
      )*24/24716,
   1)
)</f>
        <v>12</v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 xml:space="preserve">5" Louver Blade N/A 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5" Louver Blade P/C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/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70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/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 t="str">
        <f>Enginuity!$A$20</f>
        <v>Z-Louvre Blade - 5"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3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4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4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2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1447.9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20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 xml:space="preserve">2" Louver Blade N/A 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20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2" Louver Blade P/C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20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 xml:space="preserve">5" Louver Blade N/A 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40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5" Louver Blade P/C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40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/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20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/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20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/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20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/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>
        <f>IF(AND(Enginuity!$B$7&gt;0, Enginuity!$B$13&gt;0), Enginuity!$B$7 * Enginuity!$B$13, "")</f>
        <v>70</v>
      </c>
      <c r="U2202" s="104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/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>
        <f>IF(AND(Enginuity!$B$7&gt;0, Enginuity!$B$13&gt;0), Enginuity!$B$7 * Enginuity!$B$13, "")</f>
        <v>70</v>
      </c>
      <c r="U2203" s="104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10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- 5"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 t="str">
        <f>Enginuity!$A$21</f>
        <v>Z-Louvre Blade - 5"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 t="str">
        <f>Enginuity!$A$22</f>
        <v>▼ [Lattice]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20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20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20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40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40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20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20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20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>
        <f>IF(AND(Enginuity!$B$7&gt;0, Enginuity!$B$13&gt;0), Enginuity!$B$7 * Enginuity!$B$13, "")</f>
        <v>70</v>
      </c>
      <c r="U2220" s="104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>
        <f>IF(AND(Enginuity!$B$7&gt;0, Enginuity!$B$13&gt;0), Enginuity!$B$7 * Enginuity!$B$13, "")</f>
        <v>70</v>
      </c>
      <c r="U2221" s="104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10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- 5"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 t="str">
        <f>Enginuity!$A$21</f>
        <v>Z-Louvre Blade - 5"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 t="str">
        <f>Enginuity!$A$22</f>
        <v>▼ [Lattice]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200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60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>
        <f>IF(AND(Enginuity!$B$6&gt;0, Enginuity!$B$7&gt;0, Enginuity!$B$13&gt;0), (2 * Enginuity!$B$7 * Enginuity!$B$13) + (2 * Enginuity!$B$6), "")</f>
        <v>180</v>
      </c>
      <c r="U2235" s="104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>
        <f>IF(AND(Enginuity!$B$6&gt;0, Enginuity!$B$7&gt;0, Enginuity!$B$13&gt;0), ((2*Enginuity!$B$7*Enginuity!$B$13)+(2*Enginuity!$B$6))*2, "")</f>
        <v>360</v>
      </c>
      <c r="U2236" s="104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237" s="104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>
        <f>Enginuity!$B$13</f>
        <v>7</v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>
        <f>Enginuity!$B$13*4</f>
        <v>28</v>
      </c>
      <c r="U2241" s="104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>
        <f>Enginuity!$B$13*2</f>
        <v>14</v>
      </c>
      <c r="U2242" s="104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60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 xml:space="preserve">2" Louver Blade N/A 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>
        <f>$Q$3</f>
        <v>180</v>
      </c>
      <c r="U2244" s="104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2" Louver Blade P/C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 xml:space="preserve">5" Louver Blade N/A 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>
        <f>$Q$6</f>
        <v>60</v>
      </c>
      <c r="U2246" s="104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5" Louver Blade P/C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- 5"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60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>
        <f>$Q$3</f>
        <v>180</v>
      </c>
      <c r="U2252" s="104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>
        <f>$Q$6</f>
        <v>60</v>
      </c>
      <c r="U2254" s="104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- 5"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>
        <f>IF(AND(Enginuity!$B$6&gt;0, Enginuity!$B$7&gt;0, Enginuity!$B$13&gt;0), (2 * Enginuity!$B$7 * Enginuity!$B$13) + (2 * Enginuity!$B$6), "")</f>
        <v>180</v>
      </c>
      <c r="U2273" s="104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480</v>
      </c>
      <c r="U2274" s="104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>
        <f>IF(AND(Enginuity!$B$7&gt;0, Enginuity!$B$13&gt;1), (Enginuity!$B$13 - 1) * 2, "")</f>
        <v>12</v>
      </c>
      <c r="U2275" s="104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CTW / SF Partition / Z-Louvre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W/G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 t="str">
        <f>Enginuity!$A$20</f>
        <v>Z-Louvre Blade - 5"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 t="str">
        <f>Enginuity!$A$21</f>
        <v>Z-Louvre Blade - 5"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 t="str">
        <f>Enginuity!$A$22</f>
        <v>▼ [Lattice]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168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CTW / SF Partition / Z-Louvre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W/G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 t="str">
        <f>Enginuity!$A$22</f>
        <v>▼ [Lattice]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168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1829</v>
      </c>
      <c r="B1" s="1" t="s">
        <v>1830</v>
      </c>
      <c r="C1" s="1" t="s">
        <v>1831</v>
      </c>
      <c r="D1" s="1" t="s">
        <v>1832</v>
      </c>
      <c r="E1" s="1" t="s">
        <v>1833</v>
      </c>
      <c r="F1" s="1" t="s">
        <v>1834</v>
      </c>
      <c r="G1" s="1" t="s">
        <v>1835</v>
      </c>
      <c r="H1" s="1" t="s">
        <v>1836</v>
      </c>
      <c r="I1" s="1" t="s">
        <v>1837</v>
      </c>
      <c r="J1" s="1" t="s">
        <v>1838</v>
      </c>
      <c r="K1" s="1" t="s">
        <v>1839</v>
      </c>
      <c r="L1" s="1" t="s">
        <v>1840</v>
      </c>
      <c r="M1" s="1" t="s">
        <v>1841</v>
      </c>
      <c r="N1" s="1" t="s">
        <v>1842</v>
      </c>
      <c r="O1" s="1" t="s">
        <v>1844</v>
      </c>
      <c r="P1" s="1" t="s">
        <v>1843</v>
      </c>
      <c r="Q1" s="1" t="s">
        <v>1790</v>
      </c>
      <c r="R1" s="1" t="s">
        <v>102</v>
      </c>
      <c r="S1" s="1" t="s">
        <v>1845</v>
      </c>
      <c r="T1" s="1" t="s">
        <v>430</v>
      </c>
    </row>
    <row r="2" spans="1:20" x14ac:dyDescent="0.25">
      <c r="A2" s="398"/>
      <c r="B2" s="370" t="s">
        <v>1846</v>
      </c>
      <c r="P2" s="370" t="str">
        <f>IF(OR($S2="",$S2=0),"",COUNTIF($S$2:S2,"&lt;&gt;0"))</f>
        <v/>
      </c>
    </row>
    <row r="3" spans="1:20" x14ac:dyDescent="0.25">
      <c r="B3" s="370" t="s">
        <v>1848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1847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2" t="s">
        <v>1473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Q1" s="432" t="s">
        <v>1473</v>
      </c>
      <c r="R1" s="431"/>
      <c r="S1" s="431"/>
      <c r="T1" s="431"/>
      <c r="U1" s="431"/>
      <c r="V1" s="431"/>
      <c r="W1" s="431"/>
      <c r="X1" s="431"/>
      <c r="Y1" s="431"/>
      <c r="Z1" s="431"/>
      <c r="AA1" s="431"/>
    </row>
    <row r="2" spans="1:27" ht="15" customHeight="1" x14ac:dyDescent="0.25">
      <c r="A2" s="430" t="s">
        <v>1474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Q2" s="430" t="s">
        <v>1474</v>
      </c>
      <c r="R2" s="431"/>
      <c r="S2" s="431"/>
      <c r="T2" s="431"/>
      <c r="U2" s="431"/>
      <c r="V2" s="431"/>
      <c r="W2" s="431"/>
      <c r="X2" s="431"/>
      <c r="Y2" s="431"/>
      <c r="Z2" s="431"/>
      <c r="AA2" s="431"/>
    </row>
    <row r="3" spans="1:27" ht="15" customHeight="1" x14ac:dyDescent="0.25">
      <c r="A3" s="258" t="s">
        <v>1475</v>
      </c>
      <c r="B3" s="259">
        <v>21.4</v>
      </c>
      <c r="C3"/>
      <c r="F3" s="433" t="s">
        <v>1512</v>
      </c>
      <c r="G3" s="434"/>
      <c r="H3" s="434"/>
      <c r="I3" s="435"/>
      <c r="Q3" s="258" t="s">
        <v>1475</v>
      </c>
      <c r="R3" s="259">
        <v>25</v>
      </c>
      <c r="S3" s="269"/>
      <c r="V3" s="436" t="s">
        <v>1476</v>
      </c>
      <c r="W3" s="437"/>
      <c r="X3" s="437"/>
      <c r="Y3" s="438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33" t="s">
        <v>1511</v>
      </c>
      <c r="G7" s="434"/>
      <c r="H7" s="434"/>
      <c r="I7" s="435"/>
      <c r="Q7" s="258" t="s">
        <v>1484</v>
      </c>
      <c r="R7" s="263" t="s">
        <v>1480</v>
      </c>
      <c r="S7" s="269"/>
      <c r="V7" s="436" t="s">
        <v>1485</v>
      </c>
      <c r="W7" s="437"/>
      <c r="X7" s="437"/>
      <c r="Y7" s="438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30" t="s">
        <v>1487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>
        <v>6060</v>
      </c>
      <c r="M11">
        <f>L11/304.8</f>
        <v>19.881889763779526</v>
      </c>
      <c r="Q11" s="430" t="s">
        <v>1487</v>
      </c>
      <c r="R11" s="431"/>
      <c r="S11" s="431"/>
      <c r="T11" s="431"/>
      <c r="U11" s="431"/>
      <c r="V11" s="431"/>
      <c r="W11" s="431"/>
      <c r="X11" s="431"/>
      <c r="Y11" s="431"/>
      <c r="Z11" s="431"/>
      <c r="AA11" s="431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1767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1767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1768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1769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1770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39" t="s">
        <v>1520</v>
      </c>
      <c r="W1" s="439"/>
      <c r="AI1" s="148" t="s">
        <v>1753</v>
      </c>
      <c r="AJ1" s="148" t="s">
        <v>1752</v>
      </c>
      <c r="AK1" s="148" t="s">
        <v>1757</v>
      </c>
      <c r="AL1" s="375" t="s">
        <v>1757</v>
      </c>
      <c r="AM1" s="148" t="s">
        <v>1757</v>
      </c>
      <c r="AN1" s="148" t="s">
        <v>1752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1756</v>
      </c>
      <c r="AK2" s="163" t="s">
        <v>1758</v>
      </c>
      <c r="AL2" s="190" t="s">
        <v>99</v>
      </c>
      <c r="AM2" s="163" t="s">
        <v>1706</v>
      </c>
      <c r="AN2" s="163" t="s">
        <v>1763</v>
      </c>
    </row>
    <row r="3" spans="1:40" x14ac:dyDescent="0.25">
      <c r="A3" s="338" t="s">
        <v>1470</v>
      </c>
      <c r="B3" s="379"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>
        <f>$C$38</f>
        <v>31</v>
      </c>
      <c r="J3" s="328">
        <f>$C$39</f>
        <v>7</v>
      </c>
      <c r="K3" s="328">
        <f>$C$40</f>
        <v>6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>
        <f>I3</f>
        <v>31</v>
      </c>
      <c r="R3" s="329">
        <f t="shared" ref="R3:S5" si="1">J3</f>
        <v>7</v>
      </c>
      <c r="S3" s="329">
        <f t="shared" si="1"/>
        <v>6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1761</v>
      </c>
      <c r="AJ3" s="15" t="s">
        <v>1762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Enginuity!B3*304.8</f>
        <v>6096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>
        <f t="shared" ref="I4:I12" si="2">$C$38</f>
        <v>31</v>
      </c>
      <c r="J4" s="359">
        <f>$C$39</f>
        <v>7</v>
      </c>
      <c r="K4" s="328">
        <f t="shared" ref="K4:K12" si="3">$C$40</f>
        <v>6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>
        <f t="shared" ref="Q4:Q5" si="5">I4</f>
        <v>31</v>
      </c>
      <c r="R4" s="329">
        <f t="shared" si="1"/>
        <v>7</v>
      </c>
      <c r="S4" s="329">
        <f t="shared" si="1"/>
        <v>6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1754</v>
      </c>
      <c r="AJ4" s="15" t="s">
        <v>1759</v>
      </c>
      <c r="AK4" s="377">
        <v>124.3</v>
      </c>
      <c r="AL4" s="377">
        <v>49.5</v>
      </c>
      <c r="AM4" s="377">
        <v>25.4</v>
      </c>
      <c r="AN4" s="94" t="s">
        <v>1765</v>
      </c>
    </row>
    <row r="5" spans="1:40" x14ac:dyDescent="0.25">
      <c r="A5" s="338" t="s">
        <v>1696</v>
      </c>
      <c r="B5" s="379">
        <f>Enginuity!B4*304.8</f>
        <v>3048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>
        <f t="shared" si="2"/>
        <v>31</v>
      </c>
      <c r="J5" s="328">
        <f t="shared" ref="J5:J12" si="7">$C$39</f>
        <v>7</v>
      </c>
      <c r="K5" s="328">
        <f t="shared" si="3"/>
        <v>6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>
        <f t="shared" si="5"/>
        <v>31</v>
      </c>
      <c r="R5" s="329">
        <f t="shared" si="1"/>
        <v>7</v>
      </c>
      <c r="S5" s="329">
        <f t="shared" si="1"/>
        <v>6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1755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>
        <f>Enginuity!B13</f>
        <v>7</v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>
        <f t="shared" si="2"/>
        <v>31</v>
      </c>
      <c r="J6" s="328">
        <f t="shared" si="7"/>
        <v>7</v>
      </c>
      <c r="K6" s="328">
        <f t="shared" si="3"/>
        <v>6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1755</v>
      </c>
      <c r="AJ6" s="15" t="s">
        <v>1760</v>
      </c>
      <c r="AK6" s="377">
        <v>121.6</v>
      </c>
      <c r="AL6" s="377">
        <v>73.72</v>
      </c>
      <c r="AM6" s="377">
        <v>25.4</v>
      </c>
      <c r="AN6" s="94" t="s">
        <v>1764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>
        <f t="shared" si="2"/>
        <v>31</v>
      </c>
      <c r="J7" s="328">
        <f t="shared" si="7"/>
        <v>7</v>
      </c>
      <c r="K7" s="328">
        <f t="shared" si="3"/>
        <v>6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/>
      <c r="C8" s="358" t="s">
        <v>1700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>
        <f t="shared" si="2"/>
        <v>31</v>
      </c>
      <c r="J8" s="328">
        <f t="shared" si="7"/>
        <v>7</v>
      </c>
      <c r="K8" s="328">
        <f t="shared" si="3"/>
        <v>6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1701</v>
      </c>
      <c r="B9" s="381" t="s">
        <v>1702</v>
      </c>
      <c r="C9" s="360" t="s">
        <v>1703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>
        <f t="shared" si="2"/>
        <v>31</v>
      </c>
      <c r="J9" s="328">
        <f t="shared" si="7"/>
        <v>7</v>
      </c>
      <c r="K9" s="328">
        <f t="shared" si="3"/>
        <v>6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1704</v>
      </c>
      <c r="B10" s="379">
        <f>AK6</f>
        <v>121.6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>
        <f t="shared" si="2"/>
        <v>31</v>
      </c>
      <c r="J10" s="328">
        <f t="shared" si="7"/>
        <v>7</v>
      </c>
      <c r="K10" s="328">
        <f t="shared" si="3"/>
        <v>6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>
        <f>C25</f>
        <v>217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1705</v>
      </c>
      <c r="B11" s="379">
        <f>AL6</f>
        <v>73.72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>
        <f t="shared" si="2"/>
        <v>31</v>
      </c>
      <c r="J11" s="328">
        <f t="shared" si="7"/>
        <v>7</v>
      </c>
      <c r="K11" s="328">
        <f t="shared" si="3"/>
        <v>6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1706</v>
      </c>
      <c r="B12" s="379">
        <f>AM6</f>
        <v>25.4</v>
      </c>
      <c r="C12" s="358"/>
      <c r="D12" s="102"/>
      <c r="E12" s="282"/>
      <c r="F12" s="102"/>
      <c r="G12" s="102"/>
      <c r="H12" s="102"/>
      <c r="I12" s="328">
        <f t="shared" si="2"/>
        <v>31</v>
      </c>
      <c r="J12" s="328">
        <f t="shared" si="7"/>
        <v>7</v>
      </c>
      <c r="K12" s="328">
        <f t="shared" si="3"/>
        <v>6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1707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1708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1709</v>
      </c>
      <c r="B15" s="380">
        <v>25.4</v>
      </c>
      <c r="C15" s="358"/>
      <c r="D15" s="1"/>
      <c r="E15" s="1"/>
      <c r="F15" s="1"/>
      <c r="G15" s="1"/>
      <c r="I15" s="94">
        <f>SUM(I3:I11)</f>
        <v>279</v>
      </c>
      <c r="J15" s="94">
        <f>SUM(J3:J11)</f>
        <v>63</v>
      </c>
      <c r="K15" s="94">
        <f>SUM(K3:K11)</f>
        <v>54</v>
      </c>
      <c r="L15" s="282"/>
      <c r="O15" s="1"/>
      <c r="P15" s="1"/>
      <c r="Q15" s="94">
        <f>SUM(Q3:Q12)</f>
        <v>93</v>
      </c>
      <c r="R15" s="94">
        <f>SUM(R3:R11)</f>
        <v>21</v>
      </c>
      <c r="S15" s="94">
        <f>SUM(S3:S11)</f>
        <v>18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1710</v>
      </c>
      <c r="B16" s="380">
        <v>25.4</v>
      </c>
      <c r="C16" s="358"/>
      <c r="L16" s="282"/>
      <c r="T16" s="282"/>
      <c r="V16" s="107" t="s">
        <v>1515</v>
      </c>
      <c r="W16" s="107">
        <f>IF(W15=0,0,W10/W15)</f>
        <v>11.573333333333334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1711</v>
      </c>
      <c r="B17" s="357">
        <v>6060</v>
      </c>
      <c r="C17" s="358"/>
      <c r="L17" s="282"/>
      <c r="T17" s="282"/>
      <c r="V17" s="107" t="s">
        <v>1519</v>
      </c>
      <c r="W17" s="107">
        <f>IF(W4=0,0,W16/W4)</f>
        <v>1.4466666666666668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1712</v>
      </c>
      <c r="B18" s="357">
        <v>1</v>
      </c>
      <c r="C18" s="358"/>
      <c r="L18" s="282"/>
      <c r="T18" s="282"/>
      <c r="V18" s="107" t="s">
        <v>1526</v>
      </c>
      <c r="W18" s="107">
        <f>W17*1.15</f>
        <v>1.6636666666666666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1713</v>
      </c>
      <c r="B19" s="357">
        <v>2</v>
      </c>
      <c r="C19" s="358"/>
      <c r="L19" s="282"/>
      <c r="T19" s="282"/>
    </row>
    <row r="20" spans="1:40" x14ac:dyDescent="0.25">
      <c r="A20" s="338" t="s">
        <v>1714</v>
      </c>
      <c r="B20" s="357">
        <v>3</v>
      </c>
      <c r="C20" s="358"/>
      <c r="L20" s="282"/>
      <c r="T20" s="282"/>
    </row>
    <row r="21" spans="1:40" x14ac:dyDescent="0.25">
      <c r="A21" s="338" t="s">
        <v>1715</v>
      </c>
      <c r="B21" s="357"/>
      <c r="C21" s="358"/>
    </row>
    <row r="22" spans="1:40" x14ac:dyDescent="0.25">
      <c r="A22" s="338" t="s">
        <v>1715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1716</v>
      </c>
      <c r="B24" s="361" t="s">
        <v>1717</v>
      </c>
      <c r="C24" s="361" t="s">
        <v>1718</v>
      </c>
    </row>
    <row r="25" spans="1:40" x14ac:dyDescent="0.25">
      <c r="A25" s="338" t="s">
        <v>1719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2">
        <f>B25*$B$6</f>
        <v>217</v>
      </c>
    </row>
    <row r="26" spans="1:40" x14ac:dyDescent="0.25">
      <c r="A26" s="338" t="s">
        <v>1720</v>
      </c>
      <c r="B26" s="357">
        <f>IF(OR($C$49="",$B$6=""),"",ROUND(($C$49/$B$6)-(2*$B$18),3))</f>
        <v>861.6</v>
      </c>
      <c r="C26" s="362">
        <f>B26</f>
        <v>861.6</v>
      </c>
    </row>
    <row r="27" spans="1:40" x14ac:dyDescent="0.25">
      <c r="A27" s="338" t="s">
        <v>1721</v>
      </c>
      <c r="B27" s="357">
        <f>$C$46</f>
        <v>95.853333333333325</v>
      </c>
      <c r="C27" s="362">
        <f>B27</f>
        <v>95.853333333333325</v>
      </c>
    </row>
    <row r="28" spans="1:40" x14ac:dyDescent="0.25">
      <c r="A28" s="338" t="s">
        <v>1722</v>
      </c>
      <c r="B28" s="363">
        <f>$C$47</f>
        <v>95.853333333333325</v>
      </c>
      <c r="C28" s="382">
        <f>B28</f>
        <v>95.853333333333325</v>
      </c>
    </row>
    <row r="29" spans="1:40" x14ac:dyDescent="0.25">
      <c r="A29" s="338" t="s">
        <v>1723</v>
      </c>
      <c r="B29" s="364">
        <f>ROUND($C$48,10)</f>
        <v>95.8533333333</v>
      </c>
      <c r="C29" s="365">
        <f>B29</f>
        <v>95.8533333333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1724</v>
      </c>
      <c r="B30" s="357">
        <f>IF($B$19="","",$B$19)</f>
        <v>2</v>
      </c>
      <c r="C30" s="362">
        <f>IF(B30="","",B30*$B$6)</f>
        <v>14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1725</v>
      </c>
      <c r="B31" s="363">
        <f>$C$50</f>
        <v>2997.2</v>
      </c>
      <c r="C31" s="366">
        <f>B31</f>
        <v>2997.2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1726</v>
      </c>
      <c r="B32" s="357" t="str">
        <f>IF($B$6=1,$C$53,"")</f>
        <v/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1727</v>
      </c>
      <c r="B33" s="357" t="str">
        <f>IF($B$6=1,$C$51,"")</f>
        <v/>
      </c>
      <c r="C33" s="362">
        <f>$C$51</f>
        <v>3048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1728</v>
      </c>
      <c r="B34" s="357" t="str">
        <f>IF($B$6=1,$C$54,"")</f>
        <v/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1729</v>
      </c>
      <c r="B35" s="357" t="str">
        <f>IF($B$6=1,$C$52,"")</f>
        <v/>
      </c>
      <c r="C35" s="362">
        <f>$C$52</f>
        <v>6045.2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1730</v>
      </c>
      <c r="B36" s="357" t="str">
        <f>IF($B$6=1,$C$55,"")</f>
        <v/>
      </c>
      <c r="C36" s="362">
        <f>$C$55</f>
        <v>6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1731</v>
      </c>
      <c r="B37" s="357" t="str">
        <f>IF($B$6=1,$C$56,"")</f>
        <v/>
      </c>
      <c r="C37" s="362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1732</v>
      </c>
      <c r="B38" s="357">
        <f>IF(OR($B$3="",$B$6="",$C$57=""),"",ROUND($C$57/($B$3*$B$6),3))</f>
        <v>4.4290000000000003</v>
      </c>
      <c r="C38" s="362">
        <f>$C$57</f>
        <v>31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1733</v>
      </c>
      <c r="B39" s="357">
        <f>IF(OR($B$3="",$B$6="",$C$58=""),"",ROUND($C$58/($B$3*$B$6),3))</f>
        <v>1</v>
      </c>
      <c r="C39" s="362">
        <f>$C$58</f>
        <v>7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1734</v>
      </c>
      <c r="B40" s="357">
        <f>IF(OR($B$3="",$B$6="",$C$61=""),"",ROUND($C$61/($B$3*$B$6),3))</f>
        <v>0.85699999999999998</v>
      </c>
      <c r="C40" s="362">
        <f>$C$61</f>
        <v>6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1715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1715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1715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1735</v>
      </c>
      <c r="B45" s="356" t="s">
        <v>423</v>
      </c>
      <c r="C45" s="356" t="s">
        <v>1736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1737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95.853333333333325</v>
      </c>
    </row>
    <row r="47" spans="1:33" x14ac:dyDescent="0.25">
      <c r="A47" s="338" t="s">
        <v>1738</v>
      </c>
      <c r="B47" s="367" t="str">
        <f t="shared" ca="1" si="8"/>
        <v>=IF(OR(TRIM($B$7)="",TRIM($B$8)=""),$C$46,$B$7)</v>
      </c>
      <c r="C47" s="337">
        <f>IF(OR(TRIM($B$7)="",TRIM($B$8)=""),$C$46,$B$7)</f>
        <v>95.853333333333325</v>
      </c>
    </row>
    <row r="48" spans="1:33" x14ac:dyDescent="0.25">
      <c r="A48" s="338" t="s">
        <v>1739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8" t="s">
        <v>1740</v>
      </c>
      <c r="B49" s="367" t="str">
        <f t="shared" ca="1" si="8"/>
        <v>=IF(OR($B$4="",$B$16=""),"",ROUND($B$4-(2*$B$16),3))</v>
      </c>
      <c r="C49" s="337">
        <f>IF(OR($B$4="",$B$16=""),"",ROUND($B$4-(2*$B$16),3))</f>
        <v>6045.2</v>
      </c>
    </row>
    <row r="50" spans="1:3" x14ac:dyDescent="0.25">
      <c r="A50" s="368" t="s">
        <v>1741</v>
      </c>
      <c r="B50" s="367" t="str">
        <f t="shared" ca="1" si="8"/>
        <v>=IF(OR($B$5="",$B$15=""),"",ROUND($B$5-(2*$B$15),3))</v>
      </c>
      <c r="C50" s="337">
        <f>IF(OR($B$5="",$B$15=""),"",ROUND($B$5-(2*$B$15),3))</f>
        <v>2997.2</v>
      </c>
    </row>
    <row r="51" spans="1:3" x14ac:dyDescent="0.25">
      <c r="A51" s="338" t="s">
        <v>1742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3048</v>
      </c>
    </row>
    <row r="52" spans="1:3" x14ac:dyDescent="0.25">
      <c r="A52" s="338" t="s">
        <v>1743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6045.2</v>
      </c>
    </row>
    <row r="53" spans="1:3" x14ac:dyDescent="0.25">
      <c r="A53" s="338" t="s">
        <v>1744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1745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1746</v>
      </c>
      <c r="B55" s="367" t="str">
        <f t="shared" ca="1" si="8"/>
        <v>=MAX($B$6-1,0)</v>
      </c>
      <c r="C55" s="337">
        <f>MAX($B$6-1,0)</f>
        <v>6</v>
      </c>
    </row>
    <row r="56" spans="1:3" x14ac:dyDescent="0.25">
      <c r="A56" s="338" t="s">
        <v>1747</v>
      </c>
      <c r="B56" s="367" t="str">
        <f t="shared" ca="1" si="8"/>
        <v>=$C$50</v>
      </c>
      <c r="C56" s="337">
        <f>$C$50</f>
        <v>2997.2</v>
      </c>
    </row>
    <row r="57" spans="1:3" x14ac:dyDescent="0.25">
      <c r="A57" s="338" t="s">
        <v>1748</v>
      </c>
      <c r="B57" s="367" t="str">
        <f t="shared" ca="1" si="8"/>
        <v>=IF(OR($C$25="",$B$26="",$B$17=""),"",ROUNDUP(($C$25*$B$3)/INT(($B$17+$B$20)/($B$26+$B$20)),0))</v>
      </c>
      <c r="C57" s="337">
        <f>IF(OR($C$25="",$B$26="",$B$17=""),"",ROUNDUP(($C$25*$B$3)/INT(($B$17+$B$20)/($B$26+$B$20)),0))</f>
        <v>31</v>
      </c>
    </row>
    <row r="58" spans="1:3" ht="15" customHeight="1" x14ac:dyDescent="0.25">
      <c r="A58" s="338" t="s">
        <v>1749</v>
      </c>
      <c r="B58" s="367" t="str">
        <f t="shared" ca="1" si="8"/>
        <v>=IF(OR($C$30="",$B$31="",$B$17=""),"",ROUNDUP(($C$30*$B$3)/INT(($B$17+$B$20)/($B$31+$B$20)),0))</v>
      </c>
      <c r="C58" s="337">
        <f>IF(OR($C$30="",$B$31="",$B$17=""),"",ROUNDUP(($C$30*$B$3)/INT(($B$17+$B$20)/($B$31+$B$20)),0))</f>
        <v>7</v>
      </c>
    </row>
    <row r="59" spans="1:3" ht="15" customHeight="1" x14ac:dyDescent="0.25">
      <c r="A59" s="338" t="s">
        <v>1750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4</v>
      </c>
    </row>
    <row r="60" spans="1:3" x14ac:dyDescent="0.25">
      <c r="A60" s="338" t="s">
        <v>1751</v>
      </c>
      <c r="B60" s="367" t="str">
        <f t="shared" ca="1" si="8"/>
        <v>=IF($C$55=0,0,ROUNDUP(($C$55*$B$3)/INT(($B$17+$B$20)/($C$56+$B$20)),0))</v>
      </c>
      <c r="C60" s="337">
        <f>IF($C$55=0,0,ROUNDUP(($C$55*$B$3)/INT(($B$17+$B$20)/($C$56+$B$20)),0))</f>
        <v>3</v>
      </c>
    </row>
    <row r="61" spans="1:3" x14ac:dyDescent="0.25">
      <c r="A61" s="338" t="s">
        <v>1734</v>
      </c>
      <c r="B61" s="367" t="str">
        <f t="shared" ca="1" si="8"/>
        <v>=IF($B$17="","",CEILING((((((($C$53*$C$51)+($C$54*$C$52)+($C$55*$C$56))*$B$3)+MAX((($C$53+$C$54+$C$55)*$B$3)-1,0)*$B$20)/$B$17)),1))</v>
      </c>
      <c r="C61" s="337">
        <f>IF($B$17="","",CEILING((((((($C$53*$C$51)+($C$54*$C$52)+($C$55*$C$56))*$B$3)+MAX((($C$53+$C$54+$C$55)*$B$3)-1,0)*$B$20)/$B$17)),1))</f>
        <v>6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5" t="s">
        <v>1533</v>
      </c>
      <c r="B1" s="431"/>
      <c r="C1" s="431"/>
      <c r="D1" s="431"/>
      <c r="E1" s="431"/>
      <c r="F1" s="431"/>
      <c r="G1" s="431"/>
      <c r="H1" s="431"/>
      <c r="I1" s="431"/>
      <c r="K1" s="446" t="s">
        <v>1534</v>
      </c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G1" s="286" t="s">
        <v>1538</v>
      </c>
      <c r="BC1" s="1"/>
    </row>
    <row r="2" spans="1:55" ht="15" customHeight="1" x14ac:dyDescent="0.25">
      <c r="A2" s="448" t="s">
        <v>1535</v>
      </c>
      <c r="B2" s="431"/>
      <c r="C2" s="431"/>
      <c r="D2" s="431"/>
      <c r="E2" s="431"/>
      <c r="F2" s="431"/>
      <c r="G2" s="431"/>
      <c r="H2" s="431"/>
      <c r="I2" s="431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40" t="s">
        <v>1536</v>
      </c>
      <c r="B4" s="440"/>
      <c r="C4" s="303"/>
      <c r="D4" s="181"/>
      <c r="E4" s="440" t="s">
        <v>1537</v>
      </c>
      <c r="F4" s="441"/>
      <c r="G4" s="441"/>
      <c r="H4" s="441"/>
      <c r="I4" s="441"/>
      <c r="J4" s="37" t="s">
        <v>1784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1785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1786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1787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40" t="s">
        <v>1578</v>
      </c>
      <c r="F9" s="441"/>
      <c r="G9" s="441"/>
      <c r="H9" s="441"/>
      <c r="I9" s="441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42" t="s">
        <v>1587</v>
      </c>
      <c r="B15" s="443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1788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1784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1785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1786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1787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42" t="s">
        <v>1594</v>
      </c>
      <c r="B26" s="443"/>
      <c r="C26" s="444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9" t="s">
        <v>1633</v>
      </c>
      <c r="B1" s="431"/>
      <c r="C1" s="431"/>
      <c r="D1" s="431"/>
      <c r="E1" s="431"/>
      <c r="F1" s="431"/>
      <c r="G1" s="431"/>
      <c r="H1" s="431"/>
      <c r="I1" s="431"/>
    </row>
    <row r="2" spans="1:9" ht="15" customHeight="1" x14ac:dyDescent="0.25"/>
    <row r="3" spans="1:9" ht="15" customHeight="1" x14ac:dyDescent="0.25">
      <c r="A3" s="450" t="s">
        <v>1634</v>
      </c>
      <c r="B3" s="451"/>
      <c r="C3" s="451"/>
      <c r="E3" s="450" t="s">
        <v>1537</v>
      </c>
      <c r="F3" s="451"/>
      <c r="G3" s="451"/>
      <c r="H3" s="451"/>
      <c r="I3" s="451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50" t="s">
        <v>1578</v>
      </c>
      <c r="F9" s="451"/>
      <c r="G9" s="451"/>
      <c r="H9" s="451"/>
      <c r="I9" s="451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30" t="s">
        <v>1587</v>
      </c>
      <c r="B18" s="431"/>
      <c r="C18" s="431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30" t="s">
        <v>1594</v>
      </c>
      <c r="B31" s="431"/>
      <c r="C31" s="431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2026-04-18T08:42:31Z</dcterms:modified>
</cp:coreProperties>
</file>