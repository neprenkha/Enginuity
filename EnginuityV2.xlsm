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488A0F73-A0F8-495B-A69A-53DF5BCE7862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state="hidden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pc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ix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1" l="1" a="1"/>
  <c r="B32" i="1" s="1"/>
  <c r="B15" i="1" a="1"/>
  <c r="B15" i="1" s="1"/>
  <c r="V93" i="38" s="1"/>
  <c r="W98" i="38" a="1"/>
  <c r="W98" i="38" s="1"/>
  <c r="P98" i="38" s="1" a="1"/>
  <c r="P98" i="38" s="1"/>
  <c r="W99" i="38" a="1"/>
  <c r="W99" i="38" s="1"/>
  <c r="P99" i="38" s="1" a="1"/>
  <c r="P99" i="38" s="1"/>
  <c r="W100" i="38" a="1"/>
  <c r="W100" i="38" s="1"/>
  <c r="P100" i="38" s="1" a="1"/>
  <c r="P100" i="38" s="1"/>
  <c r="P96" i="38" a="1"/>
  <c r="P96" i="38" s="1"/>
  <c r="P97" i="38" a="1"/>
  <c r="P97" i="38" s="1"/>
  <c r="P101" i="38" a="1"/>
  <c r="P101" i="38" s="1"/>
  <c r="P102" i="38" a="1"/>
  <c r="P102" i="38" s="1"/>
  <c r="P103" i="38" a="1"/>
  <c r="P103" i="38" s="1"/>
  <c r="P104" i="38" a="1"/>
  <c r="P104" i="38" s="1"/>
  <c r="P105" i="38" a="1"/>
  <c r="P105" i="38" s="1"/>
  <c r="P106" i="38" a="1"/>
  <c r="P106" i="38" s="1"/>
  <c r="P107" i="38" a="1"/>
  <c r="P107" i="38" s="1"/>
  <c r="P108" i="38" a="1"/>
  <c r="P108" i="38" s="1"/>
  <c r="P109" i="38" a="1"/>
  <c r="P109" i="38" s="1"/>
  <c r="P110" i="38" a="1"/>
  <c r="P110" i="38" s="1"/>
  <c r="P111" i="38" a="1"/>
  <c r="P111" i="38" s="1"/>
  <c r="P112" i="38" a="1"/>
  <c r="P112" i="38" s="1"/>
  <c r="P113" i="38" a="1"/>
  <c r="P113" i="38" s="1"/>
  <c r="P114" i="38" a="1"/>
  <c r="P114" i="38" s="1"/>
  <c r="P115" i="38" a="1"/>
  <c r="P115" i="38" s="1"/>
  <c r="P116" i="38" a="1"/>
  <c r="P116" i="38" s="1"/>
  <c r="W107" i="38" a="1"/>
  <c r="W107" i="38" s="1"/>
  <c r="W108" i="38" a="1"/>
  <c r="W108" i="38" s="1"/>
  <c r="W109" i="38" a="1"/>
  <c r="W109" i="38" s="1"/>
  <c r="W110" i="38" a="1"/>
  <c r="W110" i="38" s="1"/>
  <c r="T107" i="38" a="1"/>
  <c r="T107" i="38" s="1"/>
  <c r="T108" i="38" a="1"/>
  <c r="T108" i="38" s="1"/>
  <c r="T109" i="38" a="1"/>
  <c r="T109" i="38" s="1"/>
  <c r="T110" i="38" a="1"/>
  <c r="T110" i="38" s="1"/>
  <c r="Q109" i="38" a="1"/>
  <c r="Q109" i="38" s="1"/>
  <c r="Q110" i="38" a="1"/>
  <c r="Q110" i="38" s="1"/>
  <c r="Q107" i="38" a="1"/>
  <c r="Q107" i="38" s="1"/>
  <c r="Q108" i="38" a="1"/>
  <c r="Q108" i="38" s="1"/>
  <c r="U117" i="38"/>
  <c r="T117" i="38" a="1"/>
  <c r="T117" i="38" s="1"/>
  <c r="R117" i="38" s="1"/>
  <c r="Q117" i="38"/>
  <c r="T98" i="38" a="1"/>
  <c r="T98" i="38" s="1"/>
  <c r="W112" i="38"/>
  <c r="V112" i="38"/>
  <c r="T112" i="38"/>
  <c r="R112" i="38" s="1"/>
  <c r="Q98" i="38" a="1"/>
  <c r="Q98" i="38" s="1"/>
  <c r="Q99" i="38" a="1"/>
  <c r="Q99" i="38" s="1"/>
  <c r="G91" i="38"/>
  <c r="V92" i="38" l="1"/>
  <c r="P92" i="38" s="1" a="1"/>
  <c r="P92" i="38" s="1"/>
  <c r="V95" i="38"/>
  <c r="P95" i="38" s="1" a="1"/>
  <c r="P95" i="38" s="1"/>
  <c r="V94" i="38"/>
  <c r="P94" i="38" s="1" a="1"/>
  <c r="P94" i="38" s="1"/>
  <c r="P93" i="38" a="1"/>
  <c r="P93" i="38" s="1"/>
  <c r="B1" i="19"/>
  <c r="C1" i="19"/>
  <c r="D1" i="19"/>
  <c r="E1" i="19"/>
  <c r="A1" i="19"/>
  <c r="V97" i="38" a="1"/>
  <c r="V97" i="38" s="1"/>
  <c r="T97" i="38" a="1"/>
  <c r="T97" i="38" s="1"/>
  <c r="Q97" i="38" a="1"/>
  <c r="Q97" i="38" s="1"/>
  <c r="V96" i="38" a="1"/>
  <c r="V96" i="38" s="1"/>
  <c r="T96" i="38" a="1"/>
  <c r="T96" i="38" s="1"/>
  <c r="Q96" i="38" a="1"/>
  <c r="Q96" i="38" s="1"/>
  <c r="T95" i="38" a="1"/>
  <c r="T95" i="38" s="1"/>
  <c r="Q95" i="38" a="1"/>
  <c r="Q95" i="38" s="1"/>
  <c r="T94" i="38" a="1"/>
  <c r="T94" i="38" s="1"/>
  <c r="Q94" i="38" a="1"/>
  <c r="Q94" i="38" s="1"/>
  <c r="T93" i="38" a="1"/>
  <c r="T93" i="38" s="1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U120" i="38" l="1"/>
  <c r="T120" i="38" a="1"/>
  <c r="T120" i="38" s="1"/>
  <c r="W120" i="38" s="1" a="1"/>
  <c r="W120" i="38" s="1"/>
  <c r="Q120" i="38"/>
  <c r="U119" i="38"/>
  <c r="T119" i="38" a="1"/>
  <c r="T119" i="38" s="1"/>
  <c r="W119" i="38" s="1" a="1"/>
  <c r="W119" i="38" s="1"/>
  <c r="Q119" i="38"/>
  <c r="U118" i="38"/>
  <c r="T118" i="38" a="1"/>
  <c r="T118" i="38" s="1"/>
  <c r="Q118" i="38"/>
  <c r="W117" i="38" a="1"/>
  <c r="W117" i="38" s="1"/>
  <c r="V111" i="38" a="1"/>
  <c r="V111" i="38" s="1"/>
  <c r="V106" i="38" a="1"/>
  <c r="V106" i="38" s="1"/>
  <c r="T106" i="38" a="1"/>
  <c r="T106" i="38" s="1"/>
  <c r="Q106" i="38" a="1"/>
  <c r="Q106" i="38" s="1"/>
  <c r="V105" i="38" a="1"/>
  <c r="V105" i="38" s="1"/>
  <c r="T105" i="38" a="1"/>
  <c r="T105" i="38" s="1"/>
  <c r="Q105" i="38" a="1"/>
  <c r="Q105" i="38" s="1"/>
  <c r="V104" i="38" a="1"/>
  <c r="V104" i="38" s="1"/>
  <c r="T104" i="38" a="1"/>
  <c r="T104" i="38" s="1"/>
  <c r="Q104" i="38" a="1"/>
  <c r="Q104" i="38" s="1"/>
  <c r="V103" i="38" a="1"/>
  <c r="V103" i="38" s="1"/>
  <c r="T103" i="38" a="1"/>
  <c r="T103" i="38" s="1"/>
  <c r="Q103" i="38" a="1"/>
  <c r="Q103" i="38" s="1"/>
  <c r="V102" i="38" a="1"/>
  <c r="V102" i="38" s="1"/>
  <c r="T102" i="38" a="1"/>
  <c r="T102" i="38" s="1"/>
  <c r="Q102" i="38" a="1"/>
  <c r="Q102" i="38" s="1"/>
  <c r="V101" i="38" a="1"/>
  <c r="V101" i="38" s="1"/>
  <c r="T101" i="38" a="1"/>
  <c r="T101" i="38" s="1"/>
  <c r="Q101" i="38" a="1"/>
  <c r="Q101" i="38" s="1"/>
  <c r="V100" i="38" a="1"/>
  <c r="V100" i="38" s="1"/>
  <c r="T100" i="38" a="1"/>
  <c r="T100" i="38" s="1"/>
  <c r="Q100" i="38" a="1"/>
  <c r="Q100" i="38" s="1"/>
  <c r="V99" i="38" a="1"/>
  <c r="V99" i="38" s="1"/>
  <c r="T99" i="38" a="1"/>
  <c r="T99" i="38" s="1"/>
  <c r="H91" i="38"/>
  <c r="F91" i="38"/>
  <c r="E91" i="38" a="1"/>
  <c r="E91" i="38" s="1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W88" i="38" s="1" a="1"/>
  <c r="W88" i="38" s="1"/>
  <c r="U88" i="38"/>
  <c r="Q89" i="38"/>
  <c r="T89" i="38" a="1"/>
  <c r="T89" i="38" s="1"/>
  <c r="U89" i="38"/>
  <c r="Q90" i="38"/>
  <c r="T90" i="38" a="1"/>
  <c r="T90" i="38" s="1"/>
  <c r="W90" i="38" s="1" a="1"/>
  <c r="W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118" i="38" l="1" a="1"/>
  <c r="W118" i="38" s="1"/>
  <c r="W115" i="38" a="1"/>
  <c r="W115" i="38" s="1"/>
  <c r="W111" i="38" a="1"/>
  <c r="W111" i="38" s="1"/>
  <c r="W113" i="38" a="1"/>
  <c r="W113" i="38" s="1"/>
  <c r="W114" i="38" a="1"/>
  <c r="W114" i="38" s="1"/>
  <c r="W116" i="38" a="1"/>
  <c r="W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W208" i="38" s="1" a="1"/>
  <c r="W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W197" i="38"/>
  <c r="T197" i="38"/>
  <c r="R197" i="38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E181" i="38"/>
  <c r="E181" i="38" a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5" i="38" l="1" a="1"/>
  <c r="W205" i="38" s="1"/>
  <c r="W193" i="38" a="1"/>
  <c r="W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P193" i="38" a="1"/>
  <c r="P193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W690" i="38" s="1" a="1"/>
  <c r="W690" i="38" s="1"/>
  <c r="Q690" i="38"/>
  <c r="U689" i="38"/>
  <c r="T689" i="38" a="1"/>
  <c r="T689" i="38" s="1"/>
  <c r="W689" i="38" s="1" a="1"/>
  <c r="W689" i="38" s="1"/>
  <c r="Q689" i="38"/>
  <c r="U688" i="38"/>
  <c r="T688" i="38" a="1"/>
  <c r="T688" i="38" s="1"/>
  <c r="W688" i="38" s="1" a="1"/>
  <c r="W688" i="38" s="1"/>
  <c r="Q688" i="38"/>
  <c r="U687" i="38"/>
  <c r="T687" i="38" a="1"/>
  <c r="T687" i="38" s="1"/>
  <c r="W687" i="38" s="1" a="1"/>
  <c r="W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W677" i="38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E661" i="38" a="1"/>
  <c r="E661" i="38" s="1"/>
  <c r="U660" i="38"/>
  <c r="T660" i="38" a="1"/>
  <c r="T660" i="38" s="1"/>
  <c r="W660" i="38" s="1" a="1"/>
  <c r="W660" i="38" s="1"/>
  <c r="Q660" i="38"/>
  <c r="U659" i="38"/>
  <c r="T659" i="38" a="1"/>
  <c r="T659" i="38" s="1"/>
  <c r="W659" i="38" s="1" a="1"/>
  <c r="W659" i="38" s="1"/>
  <c r="Q659" i="38"/>
  <c r="U658" i="38"/>
  <c r="T658" i="38" a="1"/>
  <c r="T658" i="38" s="1"/>
  <c r="W658" i="38" s="1" a="1"/>
  <c r="W658" i="38" s="1"/>
  <c r="Q658" i="38"/>
  <c r="U657" i="38"/>
  <c r="T657" i="38" a="1"/>
  <c r="T657" i="38" s="1"/>
  <c r="W657" i="38" s="1" a="1"/>
  <c r="W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W647" i="38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E631" i="38" a="1"/>
  <c r="E631" i="38" s="1"/>
  <c r="U630" i="38"/>
  <c r="T630" i="38" a="1"/>
  <c r="T630" i="38" s="1"/>
  <c r="W630" i="38" s="1" a="1"/>
  <c r="W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W627" i="38" s="1" a="1"/>
  <c r="W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W617" i="38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E601" i="38" a="1"/>
  <c r="E601" i="38" s="1"/>
  <c r="U600" i="38"/>
  <c r="T600" i="38" a="1"/>
  <c r="T600" i="38" s="1"/>
  <c r="W600" i="38" s="1" a="1"/>
  <c r="W600" i="38" s="1"/>
  <c r="Q600" i="38"/>
  <c r="U599" i="38"/>
  <c r="T599" i="38" a="1"/>
  <c r="T599" i="38" s="1"/>
  <c r="Q599" i="38"/>
  <c r="U598" i="38"/>
  <c r="T598" i="38" a="1"/>
  <c r="T598" i="38" s="1"/>
  <c r="W598" i="38" s="1" a="1"/>
  <c r="W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W587" i="38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E571" i="38" a="1"/>
  <c r="E571" i="38" s="1"/>
  <c r="U570" i="38"/>
  <c r="T570" i="38" a="1"/>
  <c r="T570" i="38" s="1"/>
  <c r="W570" i="38" s="1" a="1"/>
  <c r="W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W557" i="38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E541" i="38" a="1"/>
  <c r="E541" i="38" s="1"/>
  <c r="U540" i="38"/>
  <c r="T540" i="38" a="1"/>
  <c r="T540" i="38" s="1"/>
  <c r="W540" i="38" s="1" a="1"/>
  <c r="W540" i="38" s="1"/>
  <c r="Q540" i="38"/>
  <c r="U539" i="38"/>
  <c r="T539" i="38" a="1"/>
  <c r="T539" i="38" s="1"/>
  <c r="W539" i="38" s="1" a="1"/>
  <c r="W539" i="38" s="1"/>
  <c r="Q539" i="38"/>
  <c r="U538" i="38"/>
  <c r="T538" i="38" a="1"/>
  <c r="T538" i="38" s="1"/>
  <c r="Q538" i="38"/>
  <c r="U537" i="38"/>
  <c r="T537" i="38" a="1"/>
  <c r="T537" i="38" s="1"/>
  <c r="W537" i="38" s="1" a="1"/>
  <c r="W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W527" i="38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E511" i="38" a="1"/>
  <c r="E511" i="38" s="1"/>
  <c r="U510" i="38"/>
  <c r="T510" i="38" a="1"/>
  <c r="T510" i="38" s="1"/>
  <c r="Q510" i="38"/>
  <c r="U509" i="38"/>
  <c r="T509" i="38" a="1"/>
  <c r="T509" i="38" s="1"/>
  <c r="W509" i="38" s="1" a="1"/>
  <c r="W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W506" i="38" s="1" a="1"/>
  <c r="W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W497" i="38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E481" i="38" a="1"/>
  <c r="E481" i="38" s="1"/>
  <c r="U420" i="38"/>
  <c r="T420" i="38" a="1"/>
  <c r="T420" i="38" s="1"/>
  <c r="Q420" i="38"/>
  <c r="U419" i="38"/>
  <c r="T419" i="38" a="1"/>
  <c r="T419" i="38" s="1"/>
  <c r="W419" i="38" s="1" a="1"/>
  <c r="W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W407" i="38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W398" i="38" s="1" a="1"/>
  <c r="W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E391" i="38" a="1"/>
  <c r="E391" i="38" s="1"/>
  <c r="W77" i="38"/>
  <c r="T77" i="38"/>
  <c r="R77" i="38" s="1"/>
  <c r="R66" i="38"/>
  <c r="W3" i="38" a="1"/>
  <c r="W3" i="38" s="1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U3" i="38"/>
  <c r="W668" i="38" l="1" a="1"/>
  <c r="W668" i="38" s="1"/>
  <c r="W2" i="38" a="1"/>
  <c r="W2" i="38" s="1"/>
  <c r="W187" i="38" a="1"/>
  <c r="W187" i="38" s="1"/>
  <c r="W394" i="38" a="1"/>
  <c r="W394" i="38" s="1"/>
  <c r="P394" i="38" s="1" a="1"/>
  <c r="P394" i="38" s="1"/>
  <c r="G2" i="19"/>
  <c r="W397" i="38" a="1"/>
  <c r="W39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P668" i="38" a="1"/>
  <c r="P668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P398" i="38" a="1"/>
  <c r="P398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Y22" i="36"/>
  <c r="AC38" i="36"/>
  <c r="AC39" i="36"/>
  <c r="AC40" i="36"/>
  <c r="AC41" i="36"/>
  <c r="AC42" i="36"/>
  <c r="AC43" i="36"/>
  <c r="AC44" i="36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6" i="38" a="1"/>
  <c r="W76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AC37" i="36"/>
  <c r="AC31" i="36" l="1"/>
  <c r="AC32" i="36"/>
  <c r="AC33" i="36"/>
  <c r="AC34" i="36"/>
  <c r="AC35" i="36"/>
  <c r="AC23" i="36"/>
  <c r="AC24" i="36"/>
  <c r="AC25" i="36"/>
  <c r="AC26" i="36"/>
  <c r="AC27" i="36"/>
  <c r="AC28" i="36"/>
  <c r="AC29" i="36"/>
  <c r="AC30" i="36"/>
  <c r="AC22" i="36"/>
  <c r="S22" i="36" l="1" a="1"/>
  <c r="S22" i="36" s="1"/>
  <c r="W5" i="38" a="1"/>
  <c r="W5" i="38" s="1"/>
  <c r="W6" i="38" a="1"/>
  <c r="W6" i="38" s="1"/>
  <c r="O22" i="36" a="1"/>
  <c r="O22" i="36" s="1"/>
  <c r="G61" i="38"/>
  <c r="H61" i="38"/>
  <c r="F61" i="38"/>
  <c r="W8" i="38" l="1" a="1"/>
  <c r="W8" i="38" s="1"/>
  <c r="P8" i="38" s="1"/>
  <c r="W12" i="38" a="1"/>
  <c r="W12" i="38" s="1"/>
  <c r="W19" i="38" a="1"/>
  <c r="W19" i="38" s="1"/>
  <c r="P19" i="38" s="1"/>
  <c r="W27" i="38" a="1"/>
  <c r="W27" i="38" s="1"/>
  <c r="P27" i="38" s="1"/>
  <c r="W10" i="38" a="1"/>
  <c r="W10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7" i="38" a="1"/>
  <c r="W7" i="38" s="1"/>
  <c r="P7" i="38" s="1"/>
  <c r="W9" i="38" a="1"/>
  <c r="W9" i="38" s="1"/>
  <c r="P9" i="38" s="1"/>
  <c r="W13" i="38" a="1"/>
  <c r="W13" i="38" s="1"/>
  <c r="W16" i="38" a="1"/>
  <c r="W16" i="38" s="1"/>
  <c r="P16" i="38" s="1"/>
  <c r="W23" i="38" a="1"/>
  <c r="W23" i="38" s="1"/>
  <c r="P23" i="38" s="1"/>
  <c r="P6" i="38"/>
  <c r="W11" i="38" a="1"/>
  <c r="W11" i="38" s="1"/>
  <c r="W14" i="38" a="1"/>
  <c r="W14" i="38" s="1"/>
  <c r="W15" i="38" a="1"/>
  <c r="W15" i="38" s="1"/>
  <c r="P15" i="38" s="1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5" i="36" a="1"/>
  <c r="P5" i="36" s="1"/>
  <c r="Q5" i="36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P4" i="36" a="1"/>
  <c r="P4" i="36" s="1"/>
  <c r="A22" i="36" a="1"/>
  <c r="A22" i="36" s="1"/>
  <c r="E61" i="38" l="1" a="1"/>
  <c r="E61" i="38" s="1"/>
  <c r="Q4" i="36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E3" i="19" l="1" a="1"/>
  <c r="E3" i="19" s="1"/>
  <c r="E2" i="19"/>
  <c r="C2" i="19" a="1"/>
  <c r="C2" i="19" s="1"/>
  <c r="A2" i="19" a="1"/>
  <c r="A2" i="19" s="1"/>
  <c r="H36" i="36"/>
  <c r="I36" i="36"/>
  <c r="J36" i="36"/>
  <c r="K36" i="36"/>
  <c r="H37" i="36"/>
  <c r="I37" i="36"/>
  <c r="J37" i="36"/>
  <c r="K37" i="36"/>
  <c r="H38" i="36"/>
  <c r="I38" i="36"/>
  <c r="J38" i="36"/>
  <c r="K38" i="36"/>
  <c r="H39" i="36"/>
  <c r="I39" i="36"/>
  <c r="J39" i="36"/>
  <c r="K39" i="36"/>
  <c r="H40" i="36"/>
  <c r="I40" i="36"/>
  <c r="J40" i="36"/>
  <c r="K40" i="36"/>
  <c r="H41" i="36"/>
  <c r="I41" i="36"/>
  <c r="J41" i="36"/>
  <c r="K41" i="36"/>
  <c r="H42" i="36"/>
  <c r="I42" i="36"/>
  <c r="J42" i="36"/>
  <c r="K42" i="36"/>
  <c r="H43" i="36"/>
  <c r="I43" i="36"/>
  <c r="J43" i="36"/>
  <c r="K43" i="36"/>
  <c r="H44" i="36"/>
  <c r="W92" i="38" s="1" a="1"/>
  <c r="W92" i="38" s="1"/>
  <c r="I44" i="36"/>
  <c r="J44" i="36"/>
  <c r="K44" i="36"/>
  <c r="H45" i="36"/>
  <c r="I45" i="36"/>
  <c r="J45" i="36"/>
  <c r="K45" i="36"/>
  <c r="H46" i="36"/>
  <c r="W94" i="38" s="1" a="1"/>
  <c r="W94" i="38" s="1"/>
  <c r="I46" i="36"/>
  <c r="J46" i="36"/>
  <c r="K46" i="36"/>
  <c r="H47" i="36"/>
  <c r="W95" i="38" s="1" a="1"/>
  <c r="W95" i="38" s="1"/>
  <c r="I47" i="36"/>
  <c r="J47" i="36"/>
  <c r="K47" i="36"/>
  <c r="H48" i="36"/>
  <c r="W96" i="38" s="1" a="1"/>
  <c r="W96" i="38" s="1"/>
  <c r="I48" i="36"/>
  <c r="J48" i="36"/>
  <c r="K48" i="36"/>
  <c r="H49" i="36"/>
  <c r="W97" i="38" s="1" a="1"/>
  <c r="W97" i="38" s="1"/>
  <c r="I49" i="36"/>
  <c r="J49" i="36"/>
  <c r="K49" i="36"/>
  <c r="H50" i="36"/>
  <c r="I50" i="36"/>
  <c r="J50" i="36"/>
  <c r="K50" i="36"/>
  <c r="H51" i="36"/>
  <c r="W91" i="38" s="1" a="1"/>
  <c r="W91" i="38" s="1"/>
  <c r="I51" i="36"/>
  <c r="J51" i="36"/>
  <c r="K51" i="36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H1005" i="36"/>
  <c r="I1005" i="36"/>
  <c r="J1005" i="36"/>
  <c r="K1005" i="36"/>
  <c r="H1006" i="36"/>
  <c r="I1006" i="36"/>
  <c r="J1006" i="36"/>
  <c r="K1006" i="36"/>
  <c r="H1007" i="36"/>
  <c r="I1007" i="36"/>
  <c r="J1007" i="36"/>
  <c r="K1007" i="36"/>
  <c r="H1008" i="36"/>
  <c r="I1008" i="36"/>
  <c r="J1008" i="36"/>
  <c r="K1008" i="36"/>
  <c r="H1009" i="36"/>
  <c r="I1009" i="36"/>
  <c r="J1009" i="36"/>
  <c r="K1009" i="36"/>
  <c r="H1010" i="36"/>
  <c r="I1010" i="36"/>
  <c r="J1010" i="36"/>
  <c r="K1010" i="36"/>
  <c r="H1011" i="36"/>
  <c r="I1011" i="36"/>
  <c r="J1011" i="36"/>
  <c r="K1011" i="36"/>
  <c r="H1012" i="36"/>
  <c r="I1012" i="36"/>
  <c r="J1012" i="36"/>
  <c r="K1012" i="36"/>
  <c r="K1013" i="36"/>
  <c r="K1014" i="36"/>
  <c r="K1015" i="36"/>
  <c r="K1016" i="36"/>
  <c r="K1017" i="36"/>
  <c r="K1018" i="36"/>
  <c r="K1019" i="36"/>
  <c r="K1020" i="36"/>
  <c r="K1021" i="36"/>
  <c r="K1022" i="36"/>
  <c r="K1023" i="36"/>
  <c r="K1024" i="36"/>
  <c r="K1025" i="36"/>
  <c r="K1026" i="36"/>
  <c r="K1027" i="36"/>
  <c r="K1028" i="36"/>
  <c r="K1029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13" i="36"/>
  <c r="J1014" i="36"/>
  <c r="J1015" i="36"/>
  <c r="J1016" i="36"/>
  <c r="J1017" i="36"/>
  <c r="J1018" i="36"/>
  <c r="J1019" i="36"/>
  <c r="J1020" i="36"/>
  <c r="J1021" i="36"/>
  <c r="J1022" i="36"/>
  <c r="J1023" i="36"/>
  <c r="J1024" i="36"/>
  <c r="J1025" i="36"/>
  <c r="J1026" i="36"/>
  <c r="J1027" i="36"/>
  <c r="J1028" i="36"/>
  <c r="J1029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13" i="36"/>
  <c r="I1014" i="36"/>
  <c r="I1015" i="36"/>
  <c r="I1016" i="36"/>
  <c r="I1017" i="36"/>
  <c r="I1018" i="36"/>
  <c r="I1019" i="36"/>
  <c r="I1020" i="36"/>
  <c r="I1021" i="36"/>
  <c r="I1022" i="36"/>
  <c r="I1023" i="36"/>
  <c r="I1024" i="36"/>
  <c r="I1025" i="36"/>
  <c r="I1026" i="36"/>
  <c r="I1027" i="36"/>
  <c r="I1028" i="36"/>
  <c r="I1029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14" i="36"/>
  <c r="H1015" i="36"/>
  <c r="H1016" i="36"/>
  <c r="H1017" i="36"/>
  <c r="H1018" i="36"/>
  <c r="H1019" i="36"/>
  <c r="H1020" i="36"/>
  <c r="H1021" i="36"/>
  <c r="H1022" i="36"/>
  <c r="H1023" i="36"/>
  <c r="H1024" i="36"/>
  <c r="H1025" i="36"/>
  <c r="H1026" i="36"/>
  <c r="H1027" i="36"/>
  <c r="H1028" i="36"/>
  <c r="H1029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H1013" i="36"/>
  <c r="BB240" i="10"/>
  <c r="W103" i="38" l="1" a="1"/>
  <c r="W103" i="38" s="1"/>
  <c r="W102" i="38" a="1"/>
  <c r="W102" i="38" s="1"/>
  <c r="W101" i="38" a="1"/>
  <c r="W101" i="38" s="1"/>
  <c r="W93" i="38" a="1"/>
  <c r="W93" i="38" s="1"/>
  <c r="W105" i="38" a="1"/>
  <c r="W105" i="38" s="1"/>
  <c r="W106" i="38" a="1"/>
  <c r="W106" i="38" s="1"/>
  <c r="W104" i="38" a="1"/>
  <c r="W104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B6" i="35"/>
  <c r="B5" i="35"/>
  <c r="B4" i="35"/>
  <c r="B3" i="35"/>
  <c r="J22" i="36" l="1"/>
  <c r="K22" i="36"/>
  <c r="W62" i="38" a="1"/>
  <c r="W62" i="38" s="1"/>
  <c r="H22" i="36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2" i="35"/>
  <c r="B11" i="35"/>
  <c r="B10" i="35"/>
  <c r="B13" i="35"/>
  <c r="C55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B26" i="35" s="1"/>
  <c r="C26" i="35" s="1"/>
  <c r="C47" i="35"/>
  <c r="B28" i="35" s="1"/>
  <c r="C28" i="35" s="1"/>
  <c r="B37" i="35"/>
  <c r="B36" i="35"/>
  <c r="B35" i="35"/>
  <c r="B34" i="35"/>
  <c r="B33" i="35"/>
  <c r="C32" i="35"/>
  <c r="B32" i="35"/>
  <c r="B30" i="35"/>
  <c r="C30" i="35" s="1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0" i="35"/>
  <c r="B51" i="35"/>
  <c r="B61" i="35"/>
  <c r="B53" i="35"/>
  <c r="B52" i="35"/>
  <c r="B59" i="35"/>
  <c r="B57" i="35"/>
  <c r="B58" i="35"/>
  <c r="B50" i="35"/>
  <c r="B49" i="35"/>
  <c r="B56" i="35"/>
  <c r="B55" i="35"/>
  <c r="B46" i="35"/>
  <c r="B47" i="35"/>
  <c r="B54" i="35"/>
  <c r="B48" i="35"/>
  <c r="W61" i="38" l="1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C37" i="35" s="1"/>
  <c r="C3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W81" i="38" l="1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C25" i="35" s="1"/>
  <c r="C61" i="35"/>
  <c r="C58" i="35"/>
  <c r="C60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C39" i="35" l="1"/>
  <c r="B39" i="35"/>
  <c r="C40" i="35"/>
  <c r="B40" i="35"/>
  <c r="W10" i="35"/>
  <c r="W16" i="35" s="1"/>
  <c r="W17" i="35" s="1"/>
  <c r="W18" i="35" s="1"/>
  <c r="C57" i="35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C38" i="35" l="1"/>
  <c r="B38" i="35"/>
  <c r="K8" i="35"/>
  <c r="K10" i="35"/>
  <c r="K6" i="35"/>
  <c r="K5" i="35"/>
  <c r="S5" i="35" s="1"/>
  <c r="K7" i="35"/>
  <c r="K9" i="35"/>
  <c r="K4" i="35"/>
  <c r="K11" i="35"/>
  <c r="K12" i="35"/>
  <c r="K3" i="35"/>
  <c r="S3" i="35" s="1"/>
  <c r="J8" i="35"/>
  <c r="J9" i="35"/>
  <c r="J3" i="35"/>
  <c r="R3" i="35" s="1"/>
  <c r="J10" i="35"/>
  <c r="J6" i="35"/>
  <c r="J5" i="35"/>
  <c r="R5" i="35" s="1"/>
  <c r="J7" i="35"/>
  <c r="J4" i="35"/>
  <c r="J12" i="35"/>
  <c r="J11" i="35"/>
  <c r="B47" i="34"/>
  <c r="H5" i="34" s="1"/>
  <c r="G16" i="34"/>
  <c r="H16" i="34" s="1"/>
  <c r="B42" i="34"/>
  <c r="I5" i="34"/>
  <c r="B33" i="33"/>
  <c r="S4" i="35" l="1"/>
  <c r="S15" i="35" s="1"/>
  <c r="R4" i="35"/>
  <c r="R15" i="35" s="1"/>
  <c r="K15" i="35"/>
  <c r="J15" i="35"/>
  <c r="I6" i="35"/>
  <c r="I9" i="35"/>
  <c r="I10" i="35"/>
  <c r="I7" i="35"/>
  <c r="I4" i="35"/>
  <c r="I5" i="35"/>
  <c r="Q5" i="35" s="1"/>
  <c r="I12" i="35"/>
  <c r="I8" i="35"/>
  <c r="I3" i="35"/>
  <c r="Q3" i="35" s="1"/>
  <c r="I11" i="35"/>
  <c r="B48" i="34"/>
  <c r="H6" i="34" s="1"/>
  <c r="I6" i="34" s="1"/>
  <c r="G15" i="34"/>
  <c r="B36" i="33"/>
  <c r="Q4" i="35" l="1"/>
  <c r="Q15" i="35" s="1"/>
  <c r="I15" i="35"/>
  <c r="H15" i="34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181" i="38" l="1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13" i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205" i="38" l="1"/>
  <c r="P205" i="38" s="1" a="1"/>
  <c r="P205" i="38" s="1"/>
  <c r="V204" i="38"/>
  <c r="P204" i="38" s="1" a="1"/>
  <c r="P204" i="38" s="1"/>
  <c r="V197" i="38"/>
  <c r="P197" i="38" s="1" a="1"/>
  <c r="P197" i="38" s="1"/>
  <c r="V87" i="38"/>
  <c r="P87" i="38" s="1" a="1"/>
  <c r="P87" i="38" s="1"/>
  <c r="V207" i="38"/>
  <c r="P207" i="38" s="1" a="1"/>
  <c r="P207" i="38" s="1"/>
  <c r="V91" i="38" a="1"/>
  <c r="V91" i="38" s="1"/>
  <c r="P91" i="38" s="1" a="1"/>
  <c r="P91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V415" i="38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P77" i="38" a="1"/>
  <c r="P77" i="38" s="1"/>
  <c r="V677" i="38"/>
  <c r="P677" i="38" s="1" a="1"/>
  <c r="P677" i="38" s="1"/>
  <c r="V407" i="38"/>
  <c r="P407" i="38" s="1" a="1"/>
  <c r="P407" i="38" s="1"/>
  <c r="V527" i="38"/>
  <c r="P527" i="38" s="1" a="1"/>
  <c r="P527" i="38" s="1"/>
  <c r="V617" i="38"/>
  <c r="P617" i="38" s="1" a="1"/>
  <c r="P617" i="38" s="1"/>
  <c r="V557" i="38"/>
  <c r="P557" i="38" s="1" a="1"/>
  <c r="P557" i="38" s="1"/>
  <c r="V647" i="38"/>
  <c r="P647" i="38" s="1" a="1"/>
  <c r="P647" i="38" s="1"/>
  <c r="V77" i="38"/>
  <c r="V497" i="38"/>
  <c r="P497" i="38" s="1" a="1"/>
  <c r="P497" i="38" s="1"/>
  <c r="V587" i="38"/>
  <c r="P587" i="38" s="1" a="1"/>
  <c r="P587" i="38" s="1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P393" i="38" a="1"/>
  <c r="P393" i="38" s="1"/>
  <c r="P415" i="38" a="1"/>
  <c r="P415" i="38" s="1"/>
  <c r="P414" i="38" a="1"/>
  <c r="P41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117" i="38" l="1"/>
  <c r="P117" i="38" s="1" a="1"/>
  <c r="P117" i="38" s="1"/>
  <c r="V119" i="38"/>
  <c r="P119" i="38" s="1" a="1"/>
  <c r="P119" i="38" s="1"/>
  <c r="V118" i="38"/>
  <c r="P118" i="38" s="1" a="1"/>
  <c r="P118" i="38" s="1"/>
  <c r="V90" i="38"/>
  <c r="P90" i="38" s="1" a="1"/>
  <c r="P90" i="38" s="1"/>
  <c r="V120" i="38"/>
  <c r="P120" i="38" s="1" a="1"/>
  <c r="P12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418" i="38" a="1"/>
  <c r="P418" i="38" s="1"/>
  <c r="P63" i="38" a="1"/>
  <c r="P63" i="38" s="1"/>
  <c r="P62" i="38" a="1"/>
  <c r="P62" i="38" s="1"/>
  <c r="W4" i="38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W66" i="38" l="1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Q1224" i="10" l="1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F9" i="1" s="1" a="1"/>
  <c r="F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I4" i="1" l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5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6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7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<sst xmlns="http://schemas.openxmlformats.org/spreadsheetml/2006/main" count="11426" uniqueCount="1992">
  <si>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</si>
  <si>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</si>
  <si>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</si>
  <si>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</si>
  <si>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</si>
  <si>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</si>
  <si>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</si>
  <si>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</si>
  <si>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</si>
  <si>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</si>
  <si>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</si>
  <si>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</si>
  <si>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</si>
  <si>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</si>
  <si>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</si>
  <si>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</si>
  <si>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</si>
  <si>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</si>
  <si>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</si>
  <si>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</si>
  <si>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</si>
  <si>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</si>
  <si>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</si>
  <si>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</si>
  <si>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</si>
  <si>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</si>
  <si>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</si>
  <si>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</si>
  <si>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</si>
  <si>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</si>
  <si>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</si>
  <si>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</si>
  <si>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</si>
  <si>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</si>
  <si>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</si>
  <si>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</si>
  <si>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</si>
  <si>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</si>
  <si>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</si>
  <si>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</si>
  <si>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</si>
  <si>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</si>
  <si>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</si>
  <si>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</si>
  <si>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</si>
  <si>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</si>
  <si>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</si>
  <si>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</si>
  <si>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</si>
  <si>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</si>
  <si>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</si>
  <si>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</si>
  <si>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</si>
  <si>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</si>
  <si>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</si>
  <si>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</si>
  <si>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</si>
  <si>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</si>
  <si>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</si>
  <si>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</si>
  <si>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</si>
  <si>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</si>
  <si>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</si>
  <si>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</si>
  <si>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</si>
  <si>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</si>
  <si>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</si>
  <si>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</si>
  <si>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</si>
  <si>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</si>
  <si>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</si>
  <si>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</si>
  <si>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</si>
  <si>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</si>
  <si>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</si>
  <si>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</si>
  <si>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</si>
  <si>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</si>
  <si>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</si>
  <si>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</si>
  <si>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</si>
  <si>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</si>
  <si>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</si>
  <si>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</si>
  <si>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</si>
  <si>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</si>
  <si>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</si>
  <si>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</si>
  <si>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</si>
  <si>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</si>
  <si>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</si>
  <si>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</si>
  <si>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</si>
  <si>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</si>
  <si>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</si>
  <si>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</si>
  <si>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</si>
  <si>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</si>
  <si>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</si>
  <si>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</si>
  <si>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</si>
  <si>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</si>
  <si>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</si>
  <si>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</si>
  <si>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</si>
  <si>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</si>
  <si>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</si>
  <si>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</si>
  <si>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</si>
  <si>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</si>
  <si>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</si>
  <si>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</si>
  <si>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</si>
  <si>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</si>
  <si>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</si>
  <si>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</si>
  <si>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</si>
  <si>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</si>
  <si>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</si>
  <si>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</si>
  <si>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</si>
  <si>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</si>
  <si>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</si>
  <si>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</si>
  <si>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</si>
  <si>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</si>
  <si>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</si>
  <si>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</si>
  <si>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</si>
  <si>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</si>
  <si>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</si>
  <si>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</si>
  <si>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</si>
  <si>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</si>
  <si>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</si>
  <si>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</si>
  <si>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</si>
  <si>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</si>
  <si>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</si>
  <si>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</si>
  <si>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</si>
  <si>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</si>
  <si>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</si>
  <si>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</si>
  <si>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</si>
  <si>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</si>
  <si>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</si>
  <si>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</si>
  <si>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</si>
  <si>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</si>
  <si>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</si>
  <si>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</si>
  <si>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</si>
  <si>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</si>
  <si>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</si>
  <si>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</si>
  <si>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</si>
  <si>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</si>
  <si>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</si>
  <si>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</si>
  <si>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</si>
  <si>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</si>
  <si>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</si>
  <si>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</si>
  <si>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</si>
  <si>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</si>
  <si>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</si>
  <si>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</si>
  <si>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</si>
  <si>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</si>
  <si>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</si>
  <si>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</si>
  <si>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</si>
  <si>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</si>
  <si>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</si>
  <si>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</si>
  <si>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</si>
  <si>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</si>
  <si>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</si>
  <si>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</si>
  <si>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</si>
  <si>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</si>
  <si>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</si>
  <si>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</si>
  <si>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</si>
  <si>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</si>
  <si>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</si>
  <si>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</si>
  <si>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</si>
  <si>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</si>
  <si>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</si>
  <si>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</si>
  <si>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</si>
  <si>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</si>
  <si>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</si>
  <si>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</si>
  <si>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</si>
  <si>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</si>
  <si>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</si>
  <si>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</si>
  <si>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</si>
  <si>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</si>
  <si>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</si>
  <si>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</si>
  <si>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</si>
  <si>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</si>
  <si>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</si>
  <si>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</si>
  <si>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</si>
  <si>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</si>
  <si>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</si>
  <si>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</si>
  <si>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</si>
  <si>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</si>
  <si>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</si>
  <si>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</si>
  <si>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</si>
  <si>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</si>
  <si>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</si>
  <si>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</si>
  <si>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</si>
  <si>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</si>
  <si>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</si>
  <si>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</si>
  <si>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</si>
  <si>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</si>
  <si>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</si>
  <si>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</si>
  <si>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</si>
  <si>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</si>
  <si>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</si>
  <si>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</si>
  <si>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</si>
  <si>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</si>
  <si>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</si>
  <si>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</si>
  <si>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</si>
  <si>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</si>
  <si>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</si>
  <si>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</si>
  <si>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</si>
  <si>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</si>
  <si>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</si>
  <si>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</si>
  <si>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</si>
  <si>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</si>
  <si>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</si>
  <si>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</si>
  <si>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</si>
  <si>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</si>
  <si>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</si>
  <si>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</si>
  <si>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</si>
  <si>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</si>
  <si>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</si>
  <si>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</si>
  <si>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</si>
  <si>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</si>
  <si>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</si>
  <si>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</si>
  <si>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</si>
  <si>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</si>
  <si>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</si>
  <si>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</si>
  <si>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</si>
  <si>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</si>
  <si>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</si>
  <si>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</si>
  <si>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</si>
  <si>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</si>
  <si>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</si>
  <si>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</si>
  <si>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</si>
  <si>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</si>
  <si>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</si>
  <si>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</si>
  <si>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</si>
  <si>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</si>
  <si>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</si>
  <si>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</si>
  <si>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</si>
  <si>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</si>
  <si>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</si>
  <si>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</si>
  <si>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</si>
  <si>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</si>
  <si>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</si>
  <si>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</si>
  <si>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</si>
  <si>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</si>
  <si>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</si>
  <si>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</si>
  <si>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</si>
  <si>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</si>
  <si>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</si>
  <si>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</si>
  <si>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</si>
  <si>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</si>
  <si>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</si>
  <si>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</si>
  <si>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</si>
  <si>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</si>
  <si>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</si>
  <si>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</si>
  <si>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</si>
  <si>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</si>
  <si>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</si>
  <si>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</si>
  <si>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</si>
  <si>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</si>
  <si>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</si>
  <si>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</si>
  <si>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</si>
  <si>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</si>
  <si>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</si>
  <si>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</si>
  <si>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</si>
  <si>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</si>
  <si>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</si>
  <si>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</si>
  <si>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</si>
  <si>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</si>
  <si>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</si>
  <si>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</si>
  <si>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</si>
  <si>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</si>
  <si>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</si>
  <si>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</si>
  <si>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</si>
  <si>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</si>
  <si>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</si>
  <si>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</si>
  <si>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</si>
  <si>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</si>
  <si>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</si>
  <si>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</si>
  <si>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</si>
  <si>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</si>
  <si>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</si>
  <si>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</si>
  <si>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</si>
  <si>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</si>
  <si>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</si>
  <si>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</si>
  <si>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</si>
  <si>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</si>
  <si>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</si>
  <si>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</si>
  <si>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</si>
  <si>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</si>
  <si>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</si>
  <si>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</si>
  <si>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</si>
  <si>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</si>
  <si>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</si>
  <si>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</si>
  <si>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</si>
  <si>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</si>
  <si>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</si>
  <si>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</si>
  <si>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</si>
  <si>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</si>
  <si>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</si>
  <si>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</si>
  <si>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</si>
  <si>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</si>
  <si>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</si>
  <si>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</si>
  <si>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</si>
  <si>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</si>
  <si>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</si>
  <si>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</si>
  <si>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</si>
  <si>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</si>
  <si>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</si>
  <si>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</si>
  <si>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</si>
  <si>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</si>
  <si>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</si>
  <si>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</si>
  <si>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</si>
  <si>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</si>
  <si>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</si>
  <si>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</si>
  <si>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</si>
  <si>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</si>
  <si>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</si>
  <si>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</si>
  <si>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</si>
  <si>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</si>
  <si>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</si>
  <si>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</si>
  <si>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</si>
  <si>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</si>
  <si>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</si>
  <si>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</si>
  <si>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</si>
  <si>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</si>
  <si>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</si>
  <si>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</si>
  <si>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</si>
  <si>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</si>
  <si>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</si>
  <si>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</si>
  <si>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</si>
  <si>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</si>
  <si>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</si>
  <si>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</si>
  <si>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</si>
  <si>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</si>
  <si>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</si>
  <si>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</si>
  <si>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</si>
  <si>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</si>
  <si>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</si>
  <si>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</si>
  <si>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</si>
  <si>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</si>
  <si>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</si>
  <si>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</si>
  <si>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</si>
  <si>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</si>
  <si>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</si>
  <si>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</si>
  <si>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</si>
  <si>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</si>
  <si>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</si>
  <si>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</si>
  <si>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</si>
  <si>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</si>
  <si>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</si>
  <si>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</si>
  <si>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</si>
  <si>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</si>
  <si>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</si>
  <si>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</si>
  <si>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</si>
  <si>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</si>
  <si>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</si>
  <si>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</si>
  <si>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</si>
  <si>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</si>
  <si>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</si>
  <si>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</si>
  <si>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</si>
  <si>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</si>
  <si>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</si>
  <si>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</si>
  <si>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</si>
  <si>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</si>
  <si>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</si>
  <si>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</si>
  <si>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</si>
  <si>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</si>
  <si>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</si>
  <si>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</si>
  <si>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</si>
  <si>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</si>
  <si>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</si>
  <si>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</si>
  <si>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</si>
  <si>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</si>
  <si>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</si>
  <si>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</si>
  <si>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</si>
  <si>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</si>
  <si>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</si>
  <si>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</si>
  <si>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</si>
  <si>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</si>
  <si>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</si>
  <si>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</si>
  <si>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</si>
  <si>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</si>
  <si>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</si>
  <si>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</si>
  <si>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</si>
  <si>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</si>
  <si>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</si>
  <si>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</si>
  <si>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</si>
  <si>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</si>
  <si>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</si>
  <si>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</si>
  <si>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</si>
  <si>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</si>
  <si>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</si>
  <si>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</si>
  <si>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</si>
  <si>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</si>
  <si>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</si>
  <si>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</si>
  <si>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</si>
  <si>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</si>
  <si>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</si>
  <si>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</si>
  <si>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</si>
  <si>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</si>
  <si>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</si>
  <si>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</si>
  <si>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</si>
  <si>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</si>
  <si>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</si>
  <si>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</si>
  <si>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</si>
  <si>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</si>
  <si>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</si>
  <si>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</si>
  <si>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</si>
  <si>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</si>
  <si>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</si>
  <si>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</si>
  <si>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</si>
  <si>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</si>
  <si>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</si>
  <si>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</si>
  <si>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</si>
  <si>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</si>
  <si>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</si>
  <si>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</si>
  <si>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</si>
  <si>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</si>
  <si>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</si>
  <si>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</si>
  <si>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</si>
  <si>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</si>
  <si>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</si>
  <si>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</si>
  <si>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</si>
  <si>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</si>
  <si>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</si>
  <si>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</si>
  <si>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</si>
  <si>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</si>
  <si>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</si>
  <si>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</si>
  <si>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</si>
  <si>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</si>
  <si>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</si>
  <si>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</si>
  <si>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</si>
  <si>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</si>
  <si>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</si>
  <si>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</si>
  <si>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</si>
  <si>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</si>
  <si>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</si>
  <si>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</si>
  <si>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</si>
  <si>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</si>
  <si>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</si>
  <si>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</si>
  <si>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</si>
  <si>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</si>
  <si>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</si>
  <si>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</si>
  <si>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</si>
  <si>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</si>
  <si>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</si>
  <si>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</si>
  <si>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</si>
  <si>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</si>
  <si>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</si>
  <si>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</si>
  <si>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</si>
  <si>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</si>
  <si>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</si>
  <si>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</si>
  <si>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</si>
  <si>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</si>
  <si>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</si>
  <si>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</si>
  <si>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</si>
  <si>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</si>
  <si>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</si>
  <si>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</si>
  <si>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</si>
  <si>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</si>
  <si>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</si>
  <si>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</si>
  <si>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</si>
  <si>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</si>
  <si>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</si>
  <si>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</si>
  <si>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</si>
  <si>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</si>
  <si>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</si>
  <si>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</si>
  <si>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</si>
  <si>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</si>
  <si>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</si>
  <si>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</si>
  <si>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</si>
  <si>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</si>
  <si>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</si>
  <si>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</si>
  <si>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</si>
  <si>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</si>
  <si>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</si>
  <si>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</si>
  <si>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</si>
  <si>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</si>
  <si>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</si>
  <si>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</si>
  <si>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</si>
  <si>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</si>
  <si>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</si>
  <si>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</si>
  <si>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</si>
  <si>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</si>
  <si>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</si>
  <si>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</si>
  <si>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</si>
  <si>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</si>
  <si>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</si>
  <si>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</si>
  <si>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</si>
  <si>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</si>
  <si>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</si>
  <si>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</si>
  <si>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</si>
  <si>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</si>
  <si>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</si>
  <si>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</si>
  <si>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</si>
  <si>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</si>
  <si>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</si>
  <si>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</si>
  <si>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</si>
  <si>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</si>
  <si>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</si>
  <si>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</si>
  <si>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</si>
  <si>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</si>
  <si>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</si>
  <si>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</si>
  <si>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</si>
  <si>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</si>
  <si>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</si>
  <si>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</si>
  <si>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</si>
  <si>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</si>
  <si>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</si>
  <si>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</si>
  <si>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</si>
  <si>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</si>
  <si>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</si>
  <si>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</si>
  <si>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</si>
  <si>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</si>
  <si>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</si>
  <si>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</si>
  <si>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</si>
  <si>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</si>
  <si>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</si>
  <si>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</si>
  <si>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</si>
  <si>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</si>
  <si>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</si>
  <si>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</si>
  <si>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</si>
  <si>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</si>
  <si>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</si>
  <si>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</si>
  <si>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</si>
  <si>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</si>
  <si>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</si>
  <si>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</si>
  <si>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</si>
  <si>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</si>
  <si>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</si>
  <si>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</si>
  <si>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</si>
  <si>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</si>
  <si>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</si>
  <si>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</si>
  <si>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</si>
  <si>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</si>
  <si>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</si>
  <si>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</si>
  <si>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</si>
  <si>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</si>
  <si>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</si>
  <si>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</si>
  <si>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</si>
  <si>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</si>
  <si>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</si>
  <si>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</si>
  <si>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</si>
  <si>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</si>
  <si>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</si>
  <si>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</si>
  <si>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</si>
  <si>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</si>
  <si>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</si>
  <si>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</si>
  <si>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</si>
  <si>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</si>
  <si>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</si>
  <si>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</si>
  <si>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</si>
  <si>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</si>
  <si>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</si>
  <si>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</si>
  <si>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</si>
  <si>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</si>
  <si>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</si>
  <si>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</si>
  <si>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</si>
  <si>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</si>
  <si>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</si>
  <si>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</si>
  <si>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</si>
  <si>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</si>
  <si>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</si>
  <si>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</si>
  <si>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</si>
  <si>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</si>
  <si>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</si>
  <si>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</si>
  <si>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</si>
  <si>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</si>
  <si>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</si>
  <si>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</si>
  <si>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</si>
  <si>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</si>
  <si>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</si>
  <si>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</si>
  <si>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</si>
  <si>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</si>
  <si>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</si>
  <si>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</si>
  <si>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</si>
  <si>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</si>
  <si>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</si>
  <si>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</si>
  <si>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</si>
  <si>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</si>
  <si>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</si>
  <si>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</si>
  <si>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</si>
  <si>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</si>
  <si>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</si>
  <si>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</si>
  <si>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</si>
  <si>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</si>
  <si>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</si>
  <si>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</si>
  <si>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</si>
  <si>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</si>
  <si>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</si>
  <si>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</si>
  <si>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</si>
  <si>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</si>
  <si>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</si>
  <si>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</si>
  <si>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</si>
  <si>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</si>
  <si>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</si>
  <si>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</si>
  <si>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</si>
  <si>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</si>
  <si>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</si>
  <si>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</si>
  <si>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</si>
  <si>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</si>
  <si>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</si>
  <si>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</si>
  <si>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</si>
  <si>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</si>
  <si>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</si>
  <si>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</si>
  <si>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</si>
  <si>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</si>
  <si>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</si>
  <si>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</si>
  <si>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</si>
  <si>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</si>
  <si>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</si>
  <si>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</si>
  <si>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</si>
  <si>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</si>
  <si>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</si>
  <si>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</si>
  <si>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</si>
  <si>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</si>
  <si>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</si>
  <si>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</si>
  <si>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</si>
  <si>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</si>
  <si>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</si>
  <si>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</si>
  <si>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</si>
  <si>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</si>
  <si>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</si>
  <si>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</si>
  <si>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</si>
  <si>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</si>
  <si>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</si>
  <si>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</si>
  <si>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</si>
  <si>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</si>
  <si>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</si>
  <si>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</si>
  <si>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</si>
  <si>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</si>
  <si>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</si>
  <si>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</si>
  <si>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</si>
  <si>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</si>
  <si>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</si>
  <si>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</si>
  <si>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</si>
  <si>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</si>
  <si>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</si>
  <si>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</si>
  <si>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</si>
  <si>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</si>
  <si>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</si>
  <si>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</si>
  <si>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</si>
  <si>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</si>
  <si>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</si>
  <si>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</si>
  <si>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</si>
  <si>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</si>
  <si>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</si>
  <si>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</si>
  <si>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</si>
  <si>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</si>
  <si>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</si>
  <si>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</si>
  <si>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</si>
  <si>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</si>
  <si>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</si>
  <si>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</si>
  <si>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</si>
  <si>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</si>
  <si>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</si>
  <si>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</si>
  <si>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</si>
  <si>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</si>
  <si>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</si>
  <si>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</si>
  <si>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</si>
  <si>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</si>
  <si>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</si>
  <si>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</si>
  <si>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</si>
  <si>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</si>
  <si>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</si>
  <si>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</si>
  <si>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</si>
  <si>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</si>
  <si>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</si>
  <si>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</si>
  <si>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</si>
  <si>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</si>
  <si>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</si>
  <si>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</si>
  <si>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</si>
  <si>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</si>
  <si>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</si>
  <si>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</si>
  <si>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</si>
  <si>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</si>
  <si>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</si>
  <si>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</si>
  <si>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</si>
  <si>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</si>
  <si>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</si>
  <si>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</si>
  <si>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</si>
  <si>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</si>
  <si>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</si>
  <si>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</si>
  <si>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</si>
  <si>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</si>
  <si>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</si>
  <si>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</si>
  <si>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</si>
  <si>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</si>
  <si>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</si>
  <si>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</si>
  <si>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</si>
  <si>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</si>
  <si>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</si>
  <si>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</si>
  <si>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</si>
  <si>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</si>
  <si>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</si>
  <si>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</si>
  <si>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</si>
  <si>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</si>
  <si>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</si>
  <si>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</si>
  <si>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</si>
  <si>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</si>
  <si>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</si>
  <si>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</si>
  <si>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</si>
  <si>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</si>
  <si>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</si>
  <si>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</si>
  <si>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</si>
  <si>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</si>
  <si>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</si>
  <si>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</si>
  <si>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</si>
  <si>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</si>
  <si>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</si>
  <si>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</si>
  <si>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</si>
  <si>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</si>
  <si>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</si>
  <si>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</si>
  <si>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</si>
  <si>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</si>
  <si>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</si>
  <si>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</si>
  <si>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</si>
  <si>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</si>
  <si>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</si>
  <si>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</si>
  <si>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</si>
  <si>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</si>
  <si>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</si>
  <si>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</si>
  <si>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</si>
  <si>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</si>
  <si>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</si>
  <si>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</si>
  <si>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</si>
  <si>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</si>
  <si>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</si>
  <si>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</si>
  <si>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</si>
  <si>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</si>
  <si>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</si>
  <si>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</si>
  <si>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</si>
  <si>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</si>
  <si>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</si>
  <si>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</si>
  <si>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</si>
  <si>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</si>
  <si>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</si>
  <si>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</si>
  <si>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</si>
  <si>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</si>
  <si>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</si>
  <si>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</si>
  <si>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</si>
  <si>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</si>
  <si>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</si>
  <si>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</si>
  <si>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</si>
  <si>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</si>
  <si>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</si>
  <si>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</si>
  <si>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</si>
  <si>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</si>
  <si>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</si>
  <si>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</si>
  <si>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</si>
  <si>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</si>
  <si>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</si>
  <si>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</si>
  <si>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</si>
  <si>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</si>
  <si>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</si>
  <si>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</si>
  <si>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</si>
  <si>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</si>
  <si>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</si>
  <si>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</si>
  <si>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</si>
  <si>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</si>
  <si>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</si>
  <si>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</si>
  <si>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</si>
  <si>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</si>
  <si>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</si>
  <si>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</si>
  <si>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</si>
  <si>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</si>
  <si>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</si>
  <si>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</si>
  <si>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</si>
  <si>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</si>
  <si>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</si>
  <si>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</si>
  <si>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</si>
  <si>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</si>
  <si>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</si>
  <si>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</si>
  <si>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</si>
  <si>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</si>
  <si>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</si>
  <si>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</si>
  <si>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</si>
  <si>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</si>
  <si>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</si>
  <si>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</si>
  <si>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</si>
  <si>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</si>
  <si>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</si>
  <si>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</si>
  <si>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</si>
  <si>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</si>
  <si>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</si>
  <si>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</si>
  <si>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</si>
  <si>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</si>
  <si>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</si>
  <si>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</si>
  <si>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</si>
  <si>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</si>
  <si>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</si>
  <si>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</si>
  <si>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</si>
  <si>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</si>
  <si>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</si>
  <si>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</si>
  <si>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</si>
  <si>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</si>
  <si>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</si>
  <si>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</si>
  <si>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</si>
  <si>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</si>
  <si>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</si>
  <si>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</si>
  <si>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</si>
  <si>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</si>
  <si>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</si>
  <si>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</si>
  <si>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</si>
  <si>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</si>
  <si>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</si>
  <si>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</si>
  <si>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</si>
  <si>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</si>
  <si>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</si>
  <si>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</si>
  <si>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</si>
  <si>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</si>
  <si>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</si>
  <si>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</si>
  <si>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</si>
  <si>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</si>
  <si>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</si>
  <si>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</si>
  <si>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</si>
  <si>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</si>
  <si>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</si>
  <si>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</si>
  <si>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</si>
  <si>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</si>
  <si>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</si>
  <si>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</si>
  <si>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</si>
  <si>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</si>
  <si>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</si>
  <si>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</si>
  <si>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</si>
  <si>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</si>
  <si>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</si>
  <si>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</si>
  <si>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</si>
  <si>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</si>
  <si>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</si>
  <si>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</si>
  <si>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</si>
  <si>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</si>
  <si>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</si>
  <si>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</si>
  <si>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</si>
  <si>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</si>
  <si>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</si>
  <si>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</si>
  <si>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</si>
  <si>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</si>
  <si>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</si>
  <si>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</si>
  <si>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</si>
  <si>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</si>
  <si>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</si>
  <si>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</si>
  <si>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</si>
  <si>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</si>
  <si>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</si>
  <si>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</si>
  <si>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</si>
  <si>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</si>
  <si>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</si>
  <si>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</si>
  <si>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</si>
  <si>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</si>
  <si>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</si>
  <si>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</si>
  <si>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</si>
  <si>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</si>
  <si>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</si>
  <si>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</si>
  <si>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</si>
  <si>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</si>
  <si>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</si>
  <si>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</si>
  <si>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</si>
  <si>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</si>
  <si>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</si>
  <si>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</si>
  <si>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</si>
  <si>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</si>
  <si>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</si>
  <si>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</si>
  <si>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</si>
  <si>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</si>
  <si>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</si>
  <si>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</si>
  <si>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</si>
  <si>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</si>
  <si>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</si>
  <si>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</si>
  <si>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</si>
  <si>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</si>
  <si>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</si>
  <si>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</si>
  <si>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</si>
  <si>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</si>
  <si>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</si>
  <si>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</si>
  <si>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</si>
  <si>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</si>
  <si>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</si>
  <si>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</si>
  <si>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</si>
  <si>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</si>
  <si>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</si>
  <si>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</si>
  <si>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</si>
  <si>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</si>
  <si>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</si>
  <si>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</si>
  <si>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</si>
  <si>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</si>
  <si>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</si>
  <si>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</si>
  <si>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</si>
  <si>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</si>
  <si>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</si>
  <si>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</si>
  <si>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</si>
  <si>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</si>
  <si>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</si>
  <si>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</si>
  <si>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</si>
  <si>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</si>
  <si>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</si>
  <si>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</si>
  <si>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</si>
  <si>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</si>
  <si>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</si>
  <si>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</si>
  <si>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</si>
  <si>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</si>
  <si>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</si>
  <si>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</si>
  <si>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</si>
  <si>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</si>
  <si>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</si>
  <si>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</si>
  <si>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</si>
  <si>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</si>
  <si>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</si>
  <si>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</si>
  <si>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</si>
  <si>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</si>
  <si>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</si>
  <si>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</si>
  <si>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</si>
  <si>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</si>
  <si>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</si>
  <si>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</si>
  <si>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</si>
  <si>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</si>
  <si>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</si>
  <si>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</si>
  <si>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</si>
  <si>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</si>
  <si>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</si>
  <si>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</si>
  <si>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</si>
  <si>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</si>
  <si>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</si>
  <si>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</si>
  <si>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</si>
  <si>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</si>
  <si>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</si>
  <si>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</si>
  <si>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</si>
  <si>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</si>
  <si>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</si>
  <si>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</si>
  <si>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</si>
  <si>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</si>
  <si>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</si>
  <si>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</si>
  <si>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</si>
  <si>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</si>
  <si>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</si>
  <si>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</si>
  <si>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</si>
  <si>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</si>
  <si>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</si>
  <si>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</si>
  <si>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</si>
  <si>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</si>
  <si>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</si>
  <si>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</si>
  <si>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</si>
  <si>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</si>
  <si>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</si>
  <si>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</si>
  <si>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</si>
  <si>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</si>
  <si>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</si>
  <si>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</si>
  <si>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</si>
  <si>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</si>
  <si>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</si>
  <si>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</si>
  <si>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</si>
  <si>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</si>
  <si>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</si>
  <si>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</si>
  <si>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</si>
  <si>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</si>
  <si>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</si>
  <si>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</si>
  <si>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</si>
  <si>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</si>
  <si>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</si>
  <si>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</si>
  <si>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</si>
  <si>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</si>
  <si>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</si>
  <si>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</si>
  <si>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</si>
  <si>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</si>
  <si>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</si>
  <si>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</si>
  <si>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</si>
  <si>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</si>
  <si>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</si>
  <si>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</si>
  <si>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</si>
  <si>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</si>
  <si>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</si>
  <si>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</si>
  <si>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</si>
  <si>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</si>
  <si>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</si>
  <si>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</si>
  <si>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</si>
  <si>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</si>
  <si>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</si>
  <si>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</si>
  <si>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</si>
  <si>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</si>
  <si>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</si>
  <si>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</si>
  <si>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</si>
  <si>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</si>
  <si>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</si>
  <si>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</si>
  <si>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</si>
  <si>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</si>
  <si>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</si>
  <si>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</si>
  <si>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</si>
  <si>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</si>
  <si>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</si>
  <si>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</si>
  <si>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</si>
  <si>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</si>
  <si>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</si>
  <si>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</si>
  <si>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</si>
  <si>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</si>
  <si>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</si>
  <si>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</si>
  <si>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</si>
  <si>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</si>
  <si>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</si>
  <si>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</si>
  <si>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</si>
  <si>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</si>
  <si>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</si>
  <si>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</si>
  <si>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</si>
  <si>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</si>
  <si>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</si>
  <si>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</si>
  <si>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</si>
  <si>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</si>
  <si>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</si>
  <si>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</si>
  <si>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</si>
  <si>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</si>
  <si>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</si>
  <si>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</si>
  <si>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</si>
  <si>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</si>
  <si>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</si>
  <si>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</si>
  <si>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</si>
  <si>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</si>
  <si>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</si>
  <si>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</si>
  <si>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</si>
  <si>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</si>
  <si>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</si>
  <si>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</si>
  <si>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</si>
  <si>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</si>
  <si>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</si>
  <si>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</si>
  <si>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</si>
  <si>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</si>
  <si>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</si>
  <si>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</si>
  <si>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</si>
  <si>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</si>
  <si>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</si>
  <si>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</si>
  <si>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</si>
  <si>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</si>
  <si>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</si>
  <si>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</si>
  <si>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</si>
  <si>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</si>
  <si>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</si>
  <si>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</si>
  <si>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</si>
  <si>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</si>
  <si>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</si>
  <si>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</si>
  <si>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</si>
  <si>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</si>
  <si>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</si>
  <si>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</si>
  <si>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</si>
  <si>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</si>
  <si>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</si>
  <si>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</si>
  <si>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</si>
  <si>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</si>
  <si>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</si>
  <si>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</si>
  <si>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</si>
  <si>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</si>
  <si>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</si>
  <si>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</si>
  <si>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</si>
  <si>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</si>
  <si>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</si>
  <si>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</si>
  <si>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</si>
  <si>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</si>
  <si>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</si>
  <si>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</si>
  <si>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</si>
  <si>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</si>
  <si>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</si>
  <si>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</si>
  <si>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</si>
  <si>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</si>
  <si>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</si>
  <si>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</si>
  <si>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</si>
  <si>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</si>
  <si>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</si>
  <si>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</si>
  <si>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</si>
  <si>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</si>
  <si>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</si>
  <si>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</si>
  <si>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</si>
  <si>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</si>
  <si>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</si>
  <si>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</si>
  <si>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</si>
  <si>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</si>
  <si>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</si>
  <si>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</si>
  <si>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</si>
  <si>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</si>
  <si>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</si>
  <si>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</si>
  <si>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</si>
  <si>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</si>
  <si>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</si>
  <si>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</si>
  <si>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</si>
  <si>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</si>
  <si>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</si>
  <si>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</si>
  <si>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</si>
  <si>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</si>
  <si>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</si>
  <si>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</si>
  <si>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</si>
  <si>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</si>
  <si>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</si>
  <si>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</si>
  <si>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</si>
  <si>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</si>
  <si>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</si>
  <si>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</si>
  <si>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</si>
  <si>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</si>
  <si>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</si>
  <si>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</si>
  <si>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</si>
  <si>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</si>
  <si>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</si>
  <si>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</si>
  <si>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</si>
  <si>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</si>
  <si>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</si>
  <si>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</si>
  <si>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</si>
  <si>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</si>
  <si>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</si>
  <si>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</si>
  <si>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</si>
  <si>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</si>
  <si>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</si>
  <si>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</si>
  <si>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</si>
  <si>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</si>
  <si>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</si>
  <si>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</si>
  <si>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</si>
  <si>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</si>
  <si>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</si>
  <si>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</si>
  <si>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</si>
  <si>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</si>
  <si>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</si>
  <si>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</si>
  <si>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</si>
  <si>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</si>
  <si>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</si>
  <si>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</si>
  <si>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</si>
  <si>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</si>
  <si>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</si>
  <si>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</si>
  <si>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</si>
  <si>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</si>
  <si>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</si>
  <si>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</si>
  <si>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</si>
  <si>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</si>
  <si>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</si>
  <si>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</si>
  <si>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</si>
  <si>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</si>
  <si>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</si>
  <si>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</si>
  <si>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</si>
  <si>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</si>
  <si>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</si>
  <si>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</si>
  <si>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</si>
  <si>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</si>
  <si>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</si>
  <si>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</si>
  <si>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</si>
  <si>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</si>
  <si>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</si>
  <si>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</si>
  <si>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</si>
  <si>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</si>
  <si>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</si>
  <si>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</si>
  <si>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</si>
  <si>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</si>
  <si>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</si>
  <si>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</si>
  <si>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</si>
  <si>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</si>
  <si>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</si>
  <si>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</si>
  <si>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</si>
  <si>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</si>
  <si>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</si>
  <si>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</si>
  <si>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</si>
  <si>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</si>
  <si>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</si>
  <si>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</si>
  <si>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</si>
  <si>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</si>
  <si>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</si>
  <si>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</si>
  <si>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</si>
  <si>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</si>
  <si>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</si>
  <si>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</si>
  <si>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</si>
  <si>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</si>
  <si>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</si>
  <si>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</si>
  <si>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</si>
  <si>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</si>
  <si>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</si>
  <si>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</si>
  <si>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</si>
  <si>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</si>
  <si>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</si>
  <si>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</si>
  <si>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</si>
  <si>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</si>
  <si>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</si>
  <si>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</si>
  <si>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</si>
  <si>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</si>
  <si>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</si>
  <si>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</si>
  <si>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</si>
  <si>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</si>
  <si>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</si>
  <si>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</si>
  <si>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</si>
  <si>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</si>
  <si>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</si>
  <si>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</si>
  <si>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</si>
  <si>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</si>
  <si>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</si>
  <si>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</si>
  <si>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</si>
  <si>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</si>
  <si>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</si>
  <si>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</si>
  <si>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</si>
  <si>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</si>
  <si>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</si>
  <si>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</si>
  <si>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</si>
  <si>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</si>
  <si>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</si>
  <si>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</si>
  <si>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</si>
  <si>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</si>
  <si>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</si>
  <si>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</si>
  <si>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</si>
  <si>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</si>
  <si>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</si>
  <si>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</si>
  <si>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</si>
  <si>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</si>
  <si>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</si>
  <si>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</si>
  <si>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</si>
  <si>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</si>
  <si>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</si>
  <si>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</si>
  <si>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</si>
  <si>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</si>
  <si>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</si>
  <si>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</si>
  <si>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</si>
  <si>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</si>
  <si>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</si>
  <si>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</si>
  <si>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</si>
  <si>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</si>
  <si>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</si>
  <si>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</si>
  <si>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</si>
  <si>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</si>
  <si>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</si>
  <si>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</si>
  <si>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</si>
  <si>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</si>
  <si>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</si>
  <si>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</si>
  <si>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</si>
  <si>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</si>
  <si>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</si>
  <si>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</si>
  <si>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</si>
  <si>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</si>
  <si>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</si>
  <si>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</si>
  <si>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</si>
  <si>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</si>
  <si>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</si>
  <si>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</si>
  <si>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</si>
  <si>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</si>
  <si>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</si>
  <si>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</si>
  <si>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</si>
  <si>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</si>
  <si>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</si>
  <si>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</si>
  <si>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</si>
  <si>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</si>
  <si>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</si>
  <si>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</si>
  <si>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</si>
  <si>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</si>
  <si>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</si>
  <si>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</si>
  <si>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</si>
  <si>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</si>
  <si>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</si>
  <si>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</si>
  <si>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</si>
  <si>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</si>
  <si>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</si>
  <si>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</si>
  <si>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</si>
  <si>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</si>
  <si>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</si>
  <si>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</si>
  <si>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</si>
  <si>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</si>
  <si>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</si>
  <si>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</si>
  <si>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</si>
  <si>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</si>
  <si>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</si>
  <si>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</si>
  <si>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</si>
  <si>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</si>
  <si>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</si>
  <si>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</si>
  <si>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</si>
  <si>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</si>
  <si>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</si>
  <si>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</si>
  <si>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</si>
  <si>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</si>
  <si>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</si>
  <si>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</si>
  <si>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</si>
  <si>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</si>
  <si>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</si>
  <si>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</si>
  <si>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</si>
  <si>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</si>
  <si>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</si>
  <si>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</si>
  <si>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</si>
  <si>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</si>
  <si>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</si>
  <si>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</si>
  <si>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</si>
  <si>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</si>
  <si>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</si>
  <si>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</si>
  <si>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</si>
  <si>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</si>
  <si>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</si>
  <si>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</si>
  <si>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</si>
  <si>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</si>
  <si>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</si>
  <si>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</si>
  <si>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</si>
  <si>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</si>
  <si>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</si>
  <si>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</si>
  <si>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</si>
  <si>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</si>
  <si>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</si>
  <si>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</si>
  <si>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</si>
  <si>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</si>
  <si>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</si>
  <si>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</si>
  <si>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</si>
  <si>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</si>
  <si>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</si>
  <si>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</si>
  <si>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</si>
  <si>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</si>
  <si>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</si>
  <si>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</si>
  <si>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</si>
  <si>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</si>
  <si>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</si>
  <si>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</si>
  <si>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2eb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</si>
  <si>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</si>
  <si>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</si>
  <si>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</si>
  <si>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</si>
  <si>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</si>
  <si>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</si>
  <si>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</si>
  <si>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</si>
  <si>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</si>
  <si>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</si>
  <si>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</si>
  <si>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</si>
  <si>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</si>
  <si>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</si>
  <si>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</si>
  <si>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</si>
  <si>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</si>
  <si>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</si>
  <si>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</si>
  <si>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</si>
  <si>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</si>
  <si>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</si>
  <si>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</si>
  <si>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</si>
  <si>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</si>
  <si>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</si>
  <si>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</si>
  <si>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</si>
  <si>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</si>
  <si>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</si>
  <si>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</si>
  <si>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</si>
  <si>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</si>
  <si>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</si>
  <si>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</si>
  <si>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</si>
  <si>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</si>
  <si>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</si>
  <si>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</si>
  <si>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</si>
  <si>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</si>
  <si>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</si>
  <si>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</si>
  <si>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</si>
  <si>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</si>
  <si>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</si>
  <si>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</si>
  <si>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</si>
  <si>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</si>
  <si>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</si>
  <si>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</si>
  <si>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</si>
  <si>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</si>
  <si>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</si>
  <si>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</si>
  <si>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</si>
  <si>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</si>
  <si>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</si>
  <si>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</si>
  <si>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</si>
  <si>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</si>
  <si>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</si>
  <si>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</si>
  <si>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</si>
  <si>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</si>
  <si>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</si>
  <si>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</si>
  <si>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</si>
  <si>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</si>
  <si>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</si>
  <si>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</si>
  <si>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</si>
  <si>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</si>
  <si>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</si>
  <si>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</si>
  <si>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</si>
  <si>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</si>
  <si>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</si>
  <si>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</si>
  <si>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</si>
  <si>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</si>
  <si>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</si>
  <si>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</si>
  <si>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</si>
  <si>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</si>
  <si>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</si>
  <si>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</si>
  <si>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</si>
  <si>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</si>
  <si>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</si>
  <si>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</si>
  <si>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</si>
  <si>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</si>
  <si>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</si>
  <si>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</si>
  <si>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</si>
  <si>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</si>
  <si>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</si>
  <si>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</si>
  <si>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</si>
  <si>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</si>
  <si>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</si>
  <si>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</si>
  <si>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</si>
  <si>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</si>
  <si>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</si>
  <si>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</si>
  <si>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</si>
  <si>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</si>
  <si>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</si>
  <si>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</si>
  <si>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</si>
  <si>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</si>
  <si>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</si>
  <si>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</si>
  <si>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</si>
  <si>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</si>
  <si>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</si>
  <si>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</si>
  <si>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</si>
  <si>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</si>
  <si>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</si>
  <si>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</si>
  <si>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</si>
  <si>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</si>
  <si>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</si>
  <si>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</si>
  <si>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</si>
  <si>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</si>
  <si>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</si>
  <si>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</si>
  <si>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</si>
  <si>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</si>
  <si>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</si>
  <si>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</si>
  <si>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</si>
  <si>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</si>
  <si>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</si>
  <si>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</si>
  <si>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</si>
  <si>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</si>
  <si>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</si>
  <si>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</si>
  <si>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</si>
  <si>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</si>
  <si>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</si>
  <si>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</si>
  <si>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</si>
  <si>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</si>
  <si>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</si>
  <si>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</si>
  <si>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</si>
  <si>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</si>
  <si>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</si>
  <si>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</si>
  <si>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</si>
  <si>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</si>
  <si>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</si>
  <si>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</si>
  <si>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</si>
  <si>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</si>
  <si>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</si>
  <si>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</si>
  <si>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</si>
  <si>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</si>
  <si>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</si>
  <si>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</si>
  <si>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</si>
  <si>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</si>
  <si>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</si>
  <si>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</si>
  <si>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</si>
  <si>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</si>
  <si>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</si>
  <si>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</si>
  <si>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</si>
  <si>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</si>
  <si>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</si>
  <si>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</si>
  <si>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</si>
  <si>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</si>
  <si>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</si>
  <si>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</si>
  <si>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</si>
  <si>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</si>
  <si>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</si>
  <si>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</si>
  <si>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</si>
  <si>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</si>
  <si>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</si>
  <si>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</si>
  <si>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</si>
  <si>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</si>
  <si>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</si>
  <si>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</si>
  <si>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</si>
  <si>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</si>
  <si>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</si>
  <si>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</si>
  <si>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</si>
  <si>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</si>
  <si>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</si>
  <si>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</si>
  <si>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</si>
  <si>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</si>
  <si>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</si>
  <si>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12mm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</si>
  <si>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</si>
  <si>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</si>
  <si>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</si>
  <si>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</si>
  <si>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</si>
  <si>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</si>
  <si>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</si>
  <si>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</si>
  <si>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</si>
  <si>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</si>
  <si>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</si>
  <si>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</si>
  <si>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</si>
  <si>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</si>
  <si>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</si>
  <si>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</si>
  <si>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</si>
  <si>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</si>
  <si>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</si>
  <si>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</si>
  <si>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</si>
  <si>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</si>
  <si>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</si>
  <si>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</si>
  <si>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</si>
  <si>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</si>
  <si>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</si>
  <si>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</si>
  <si>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</si>
  <si>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</si>
  <si>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</si>
  <si>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60168587072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</si>
  <si>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</si>
  <si>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</si>
  <si>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</si>
  <si>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</si>
  <si>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</si>
  <si>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</si>
  <si>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</si>
  <si>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</si>
  <si>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</si>
  <si>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</si>
  <si>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</si>
  <si>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</si>
  <si>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</si>
  <si>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</si>
  <si>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</si>
  <si>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</si>
  <si>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</si>
  <si>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</si>
  <si>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</si>
  <si>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</si>
  <si>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CTW-OUTER 13764</t>
  </si>
  <si>
    <t>CTW-MULLION 13756</t>
  </si>
  <si>
    <t>CTW-MULLION 13762</t>
  </si>
  <si>
    <t>CTW-MULLION 13763</t>
  </si>
  <si>
    <t>CTW-MULLION 13773</t>
  </si>
  <si>
    <t>CTW-INNER 70760</t>
  </si>
  <si>
    <t>CTW-INNER 70761</t>
  </si>
  <si>
    <t>Mullion 13763</t>
  </si>
  <si>
    <t>Inner 70761</t>
  </si>
  <si>
    <t>Outer 13764</t>
  </si>
  <si>
    <t>Mullion 13756</t>
  </si>
  <si>
    <t>Mullion 13762</t>
  </si>
  <si>
    <t>Mullion 13773</t>
  </si>
  <si>
    <t>Inner 70760</t>
  </si>
  <si>
    <t>CTW / SF Partition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</si>
  <si>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</si>
  <si>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</si>
  <si>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</si>
  <si>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</si>
  <si>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</si>
  <si>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</si>
  <si>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</si>
  <si>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</si>
  <si>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</si>
  <si>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</si>
  <si>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</si>
  <si>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</si>
  <si>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Z-L</t>
  </si>
  <si>
    <t>▼ [Lattice]</t>
  </si>
  <si>
    <t>Opt5</t>
  </si>
  <si>
    <t>Opt6</t>
  </si>
  <si>
    <t>Opt7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</si>
</sst>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4" xfId="0" applyFill="1" applyBorder="1"/>
    <xf numFmtId="0" fontId="0" fillId="10" borderId="5" xfId="0" applyFill="1" applyBorder="1" applyAlignment="1">
      <alignment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10" borderId="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10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B33" sqref="B33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20ftW X 15ftH  Aluminium &amp; Glass Standard 1524 Panel Supply &amp; Delivery CTW / SF Partition N/A Default SF 4"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702536.51041666663</v>
      </c>
      <c r="P2" s="126">
        <f>IF(OR(NOT(ISNUMBER(N2)),NOT(ISNUMBER(O2))),"",N2*O2)</f>
        <v>702536.51041666663</v>
      </c>
      <c r="Q2" s="34"/>
      <c r="AC2" s="82"/>
    </row>
    <row r="3" spans="1:30" x14ac:dyDescent="0.25">
      <c r="A3" s="46" t="s">
        <v>79</v>
      </c>
      <c r="B3" s="27">
        <v>20</v>
      </c>
      <c r="C3" s="47"/>
      <c r="D3" s="50" t="s">
        <v>823</v>
      </c>
      <c r="E3" s="48" t="s">
        <v>1784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15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45760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8.59</v>
      </c>
      <c r="I4" s="5">
        <f>IF(AND(ISNUMBER(F4), ISNUMBER(H4)), F4*H4, "")</f>
        <v>393078.39999999997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22845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1.33</v>
      </c>
      <c r="I5" s="5">
        <f t="shared" ref="I5:I30" si="0">IF(AND(ISNUMBER(F5), ISNUMBER(H5)), F5*H5, "")</f>
        <v>30383.850000000002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20</v>
      </c>
      <c r="C6" s="1"/>
      <c r="D6" t="str" cm="1">
        <f t="array" ref="D6">IFERROR(INDEX(CalcEngine!R:R,SMALL(CalcEngine!P:P,ROW()-3)),"")</f>
        <v>Vertical Mullion ↕</v>
      </c>
      <c r="E6" s="25"/>
      <c r="F6" s="52" cm="1">
        <f t="array" ref="F6">IF(D6="","",MAX(0,IFERROR(INDEX(CalcEngine!V:V,SMALL(CalcEngine!P:P,ROW()-3)),0)+N(E6)))</f>
        <v>22845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8.92</v>
      </c>
      <c r="I6" s="5">
        <f t="shared" si="0"/>
        <v>203777.4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15</v>
      </c>
      <c r="C7" s="1"/>
      <c r="D7" t="str" cm="1">
        <f t="array" ref="D7">IFERROR(INDEX(CalcEngine!R:R,SMALL(CalcEngine!P:P,ROW()-3)),"")</f>
        <v>Horizontal Mullion ↔</v>
      </c>
      <c r="E7" s="25"/>
      <c r="F7" s="52" cm="1">
        <f t="array" ref="F7">IF(D7="","",MAX(0,IFERROR(INDEX(CalcEngine!V:V,SMALL(CalcEngine!P:P,ROW()-3)),0)+N(E7)))</f>
        <v>20</v>
      </c>
      <c r="G7" s="2" t="str" cm="1">
        <f t="array" ref="G7">IFERROR(INDEX(CalcEngine!U:U,SMALL(CalcEngine!P:P,ROW()-3)),"")</f>
        <v>Ft</v>
      </c>
      <c r="H7" s="5" cm="1">
        <f t="array" ref="H7">IFERROR(INDEX(CalcEngine!W:W,SMALL(CalcEngine!P:P,ROW()-3)),"")</f>
        <v>2</v>
      </c>
      <c r="I7" s="5">
        <f t="shared" si="0"/>
        <v>40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Horizontal Mullion ↔</v>
      </c>
      <c r="E8" s="25"/>
      <c r="F8" s="52" cm="1">
        <f t="array" ref="F8">IF(D8="","",MAX(0,IFERROR(INDEX(CalcEngine!V:V,SMALL(CalcEngine!P:P,ROW()-3)),0)+N(E8)))</f>
        <v>20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9.67</v>
      </c>
      <c r="I8" s="5">
        <f t="shared" si="0"/>
        <v>193.4</v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300</v>
      </c>
      <c r="C9" s="1"/>
      <c r="D9" t="str" cm="1">
        <f t="array" ref="D9">IFERROR(INDEX(CalcEngine!R:R,SMALL(CalcEngine!P:P,ROW()-3)),"")</f>
        <v>⬒ Default</v>
      </c>
      <c r="E9" s="25"/>
      <c r="F9" s="52" cm="1">
        <f t="array" ref="F9">IF(D9="","",MAX(0,IFERROR(INDEX(CalcEngine!V:V,SMALL(CalcEngine!P:P,ROW()-3)),0)+N(E9)))</f>
        <v>300</v>
      </c>
      <c r="G9" s="2" t="str" cm="1">
        <f t="array" ref="G9">IFERROR(INDEX(CalcEngine!U:U,SMALL(CalcEngine!P:P,ROW()-3)),"")</f>
        <v>Sqft</v>
      </c>
      <c r="H9" s="5" cm="1">
        <f t="array" ref="H9">IFERROR(INDEX(CalcEngine!W:W,SMALL(CalcEngine!P:P,ROW()-3)),"")</f>
        <v>3.9</v>
      </c>
      <c r="I9" s="5">
        <f t="shared" si="0"/>
        <v>1170</v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2.5" x 2 Black Tape</v>
      </c>
      <c r="E10" s="25"/>
      <c r="F10" s="52" cm="1">
        <f t="array" ref="F10">IF(D10="","",MAX(0,IFERROR(INDEX(CalcEngine!V:V,SMALL(CalcEngine!P:P,ROW()-3)),0)+N(E10)))</f>
        <v>68905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0.2</v>
      </c>
      <c r="I10" s="5">
        <f t="shared" si="0"/>
        <v>13781</v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>F16S Inner Gasket</v>
      </c>
      <c r="E11" s="25"/>
      <c r="F11" s="52" cm="1">
        <f t="array" ref="F11">IF(D11="","",MAX(0,IFERROR(INDEX(CalcEngine!V:V,SMALL(CalcEngine!P:P,ROW()-3)),0)+N(E11)))</f>
        <v>45760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0.1</v>
      </c>
      <c r="I11" s="5">
        <f t="shared" si="0"/>
        <v>4576</v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6154 Inner Glass Gasket</v>
      </c>
      <c r="E12" s="25"/>
      <c r="F12" s="52" cm="1">
        <f t="array" ref="F12">IF(D12="","",MAX(0,IFERROR(INDEX(CalcEngine!V:V,SMALL(CalcEngine!P:P,ROW()-3)),0)+N(E12)))</f>
        <v>45760</v>
      </c>
      <c r="G12" s="2" t="str" cm="1">
        <f t="array" ref="G12">IFERROR(INDEX(CalcEngine!U:U,SMALL(CalcEngine!P:P,ROW()-3)),"")</f>
        <v>Ft</v>
      </c>
      <c r="H12" s="5" cm="1">
        <f t="array" ref="H12">IFERROR(INDEX(CalcEngine!W:W,SMALL(CalcEngine!P:P,ROW()-3)),"")</f>
        <v>0.30000000000000004</v>
      </c>
      <c r="I12" s="5">
        <f t="shared" si="0"/>
        <v>13728.000000000002</v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1524</v>
      </c>
      <c r="C13" s="1"/>
      <c r="D13" t="str" cm="1">
        <f t="array" ref="D13">IFERROR(INDEX(CalcEngine!R:R,SMALL(CalcEngine!P:P,ROW()-3)),"")</f>
        <v>F18 Mullion Gasket</v>
      </c>
      <c r="E13" s="25"/>
      <c r="F13" s="52" cm="1">
        <f t="array" ref="F13">IF(D13="","",MAX(0,IFERROR(INDEX(CalcEngine!V:V,SMALL(CalcEngine!P:P,ROW()-3)),0)+N(E13)))</f>
        <v>45690</v>
      </c>
      <c r="G13" s="2" t="str" cm="1">
        <f t="array" ref="G13">IFERROR(INDEX(CalcEngine!U:U,SMALL(CalcEngine!P:P,ROW()-3)),"")</f>
        <v>Ft</v>
      </c>
      <c r="H13" s="5" cm="1">
        <f t="array" ref="H13">IFERROR(INDEX(CalcEngine!W:W,SMALL(CalcEngine!P:P,ROW()-3)),"")</f>
        <v>0.30000000000000004</v>
      </c>
      <c r="I13" s="5">
        <f t="shared" si="0"/>
        <v>13707.000000000002</v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_xlpm.prd,UPPER(TRIM(Enginuity!$A$18)),
_xlpm.varSel,UPPER(TRIM(Enginuity!$A$21)),
_xlpm.srcA,UPPER(TRIM(CalcEngine!$A$2:$A$5000)),
_xlpm.srcB,UPPER(TRIM(CalcEngine!$B$2:$B$5000)),
_xlpm.srcC,UPPER(TRIM(CalcEngine!$C$2:$C$5000)),
_xlpm.srcF,UPPER(TRIM(CalcEngine!$F$2:$F$5000)),
_xlpm.srcN,CalcEngine!$N$2:$N$5000,
_xlpm.srcO,UPPER(TRIM(CalcEngine!$O$2:$O$5000)),
_xlpm.hasPrd,SUMPRODUCT(--(_xlpm.srcC=_xlpm.prd))&gt;0,
_xlpm.blkF,IF(_xlpm.hasPrd,_xlfn._xlws.FILTER(_xlpm.srcF,_xlpm.srcC=_xlpm.prd),""),
_xlpm.blkN,IF(_xlpm.hasPrd,_xlfn._xlws.FILTER(_xlpm.srcN,_xlpm.srcC=_xlpm.prd),""),
_xlpm.blkO,IF(_xlpm.hasPrd,_xlfn._xlws.FILTER(_xlpm.srcO,_xlpm.srcC=_xlpm.prd),""),
_xlpm.pickPos,IF(OR(_xlpm.varSel="",NOT(_xlpm.hasPrd)),"",IFERROR(_xlfn.XMATCH(_xlpm.varSel,_xlpm.blkF,0),"")),
_xlpm.defPos,IF(_xlpm.hasPrd,IFERROR(_xlfn.XMATCH("DEF",_xlpm.blkO,0),""),""),
_xlpm.rOld,IFERROR(_xlfn.XLOOKUP(1,(_xlpm.srcA=UPPER(TRIM(Enginuity!$A$1)))*(_xlpm.srcB=UPPER(TRIM(Enginuity!$A$17)))*(_xlpm.srcN&lt;&gt;""),_xlpm.srcN,""),""),
IF(_xlpm.hasPrd,
   IF(_xlpm.pickPos&lt;&gt;"",INDEX(_xlpm.blkN,_xlpm.pickPos),
      IF(_xlpm.defPos&lt;&gt;"",INDEX(_xlpm.blkN,_xlpm.defPos),_xlpm.rOld)),
   _xlpm.rOld)
)))</f>
        <v>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1849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1974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1793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977</v>
      </c>
      <c r="B20" s="222" t="s">
        <v>1907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1982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1988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7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8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674435.04999999993</v>
      </c>
      <c r="P25" s="193"/>
    </row>
    <row r="26" spans="1:17" x14ac:dyDescent="0.25">
      <c r="A26" s="428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_xlpm.prd,UPPER(TRIM(Enginuity!$A$18)),
_xlpm.varSel,UPPER(TRIM(Enginuity!$A$21)),
_xlpm.srcA,UPPER(TRIM(CalcEngine!$A$2:$A$5000)),
_xlpm.srcB,UPPER(TRIM(CalcEngine!$B$2:$B$5000)),
_xlpm.srcC,UPPER(TRIM(CalcEngine!$C$2:$C$5000)),
_xlpm.srcF,UPPER(TRIM(CalcEngine!$F$2:$F$5000)),
_xlpm.srcM,CalcEngine!$M$2:$M$5000,
_xlpm.srcO,UPPER(TRIM(CalcEngine!$O$2:$O$5000)),
_xlpm.hasPrd,SUMPRODUCT(--(_xlpm.srcC=_xlpm.prd))&gt;0,
_xlpm.blkF,IF(_xlpm.hasPrd,_xlfn._xlws.FILTER(_xlpm.srcF,_xlpm.srcC=_xlpm.prd),""),
_xlpm.blkM,IF(_xlpm.hasPrd,_xlfn._xlws.FILTER(_xlpm.srcM,_xlpm.srcC=_xlpm.prd),""),
_xlpm.blkO,IF(_xlpm.hasPrd,_xlfn._xlws.FILTER(_xlpm.srcO,_xlpm.srcC=_xlpm.prd),""),
_xlpm.pickPos,IF(OR(_xlpm.varSel="",NOT(_xlpm.hasPrd)),"",IFERROR(_xlfn.XMATCH(_xlpm.varSel,_xlpm.blkF,0),"")),
_xlpm.defPos,IF(_xlpm.hasPrd,IFERROR(_xlfn.XMATCH("DEF",_xlpm.blkO,0),""),""),
_xlpm.rOld,IF(OR(UPPER(TRIM(Enginuity!$A$1))="VITALLY",UPPER(TRIM(Enginuity!$A$1))="METAL WORK"),
        IFERROR(_xlfn.XLOOKUP(1,(_xlpm.srcA=UPPER(TRIM(Enginuity!$A$1)))*(_xlpm.srcC=_xlpm.prd)*(_xlpm.srcM&lt;&gt;""),_xlpm.srcM,0),0),
        IFERROR(_xlfn.XLOOKUP(1,(_xlpm.srcA=UPPER(TRIM(Enginuity!$A$1)))*(_xlpm.srcB=UPPER(TRIM(Enginuity!$A$17)))*(_xlpm.srcM&lt;&gt;""),_xlpm.srcM,0),0)),
IF(_xlpm.hasPrd,
   IF(_xlpm.pickPos&lt;&gt;"",INDEX(_xlpm.blkM,_xlpm.pickPos),
      IF(_xlpm.defPos&lt;&gt;"",INDEX(_xlpm.blkM,_xlpm.defPos),_xlpm.rOld)),
   _xlpm.rOld)-IFERROR(B34,0)
)</f>
        <v>0.04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674435.04999999993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2248.116833333333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2341.7883680555556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702536.51041666663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28101.460416666698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33721.752499999995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35126.825520833328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839.88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1939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674435.04999999993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-305.56138636363636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3048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12192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opLeftCell="A43" zoomScale="75" zoomScaleNormal="75" workbookViewId="0">
      <pane ySplit="18" topLeftCell="A76" activePane="bottomLeft" state="frozen"/>
      <selection activeCell="A43" sqref="A43"/>
      <selection pane="bottomLeft" activeCell="O92" sqref="O92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1" bestFit="1" customWidth="1"/>
    <col min="18" max="18" width="22.28515625" style="1" bestFit="1" customWidth="1"/>
    <col min="19" max="19" width="9.140625" style="24"/>
    <col min="20" max="20" width="22.28515625" style="370" bestFit="1" customWidth="1"/>
    <col min="21" max="22" width="9.140625" style="1"/>
    <col min="23" max="16384" width="9.140625" style="370"/>
  </cols>
  <sheetData>
    <row r="1" spans="1:23" x14ac:dyDescent="0.25">
      <c r="A1" s="432"/>
      <c r="B1" s="433"/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 t="s">
        <v>1865</v>
      </c>
      <c r="Q1" s="433" t="s">
        <v>1811</v>
      </c>
      <c r="R1" s="433"/>
      <c r="S1" s="417" t="s">
        <v>1757</v>
      </c>
      <c r="T1" s="433" t="s">
        <v>1791</v>
      </c>
      <c r="U1" s="433" t="s">
        <v>102</v>
      </c>
      <c r="V1" s="433" t="s">
        <v>1846</v>
      </c>
      <c r="W1" s="434" t="s">
        <v>430</v>
      </c>
    </row>
    <row r="2" spans="1:23" x14ac:dyDescent="0.25">
      <c r="A2" s="422"/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6"/>
      <c r="N2" s="435"/>
      <c r="O2" s="435"/>
      <c r="P2" s="435" t="s">
        <v>1866</v>
      </c>
      <c r="Q2" s="437" t="s">
        <v>1812</v>
      </c>
      <c r="R2" s="437"/>
      <c r="S2" s="24" t="s">
        <v>1931</v>
      </c>
      <c r="T2" s="435" t="s">
        <v>114</v>
      </c>
      <c r="U2" s="437" t="s">
        <v>103</v>
      </c>
      <c r="V2" s="437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23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1.36</v>
      </c>
    </row>
    <row r="3" spans="1:23" x14ac:dyDescent="0.25">
      <c r="A3" s="422"/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 t="str">
        <f>IF(OR(TRIM($A3)&lt;&gt;TRIM(Enginuity!$A$1),TRIM($C3)&lt;&gt;TRIM(Enginuity!$A$18),TRIM($U3)="",$V3="",$V3=0,$W3="",$W3=0),"",ROW())</f>
        <v/>
      </c>
      <c r="Q3" s="437" t="s">
        <v>1876</v>
      </c>
      <c r="R3" s="437" t="s">
        <v>1936</v>
      </c>
      <c r="S3" s="24">
        <v>6154</v>
      </c>
      <c r="T3" s="435" t="s">
        <v>1878</v>
      </c>
      <c r="U3" s="437" t="str">
        <f>IF($S3="","",IFERROR(_xlfn.XLOOKUP($S3,CostData!$U$22:$U$1000,CostData!$AA$22:$AA$1000,""),""))</f>
        <v>Ft</v>
      </c>
      <c r="V3" s="437" t="str">
        <f>V2</f>
        <v/>
      </c>
      <c r="W3" s="423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422"/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 t="str">
        <f>IF(OR(TRIM($A4)&lt;&gt;TRIM(Enginuity!$A$1),TRIM($C4)&lt;&gt;TRIM(Enginuity!$A$18),TRIM($U4)="",$V4="",$V4=0,$W4="",$W4=0),"",ROW())</f>
        <v/>
      </c>
      <c r="Q4" s="437"/>
      <c r="R4" s="437"/>
      <c r="T4" s="435"/>
      <c r="U4" s="437"/>
      <c r="V4" s="437"/>
      <c r="W4" s="423" t="str">
        <f>IF(SUMPRODUCT(V2:V3,W2:W3)=0,"",SUMPRODUCT(V2:V3,W2:W3))</f>
        <v/>
      </c>
    </row>
    <row r="5" spans="1:23" x14ac:dyDescent="0.25">
      <c r="A5" s="422"/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 t="str">
        <f>IF(OR(TRIM($A5)&lt;&gt;TRIM(Enginuity!$A$1),TRIM($C5)&lt;&gt;TRIM(Enginuity!$A$18),TRIM($U5)="",$V5="",$V5=0,$W5="",$W5=0),"",ROW())</f>
        <v/>
      </c>
      <c r="Q5" s="437"/>
      <c r="R5" s="437"/>
      <c r="T5" s="435"/>
      <c r="U5" s="437"/>
      <c r="V5" s="437"/>
      <c r="W5" s="423" t="str" cm="1">
        <f t="array" ref="W5">IF(OR(TRIM(CalcEngine!$A5)&lt;&gt;TRIM(Enginuity!$A$1),TRIM(CalcEngine!$C5)&lt;&gt;TRIM(Enginuity!$A$18),CalcEngine!$V5="",CalcEngine!$V5=0),"",IFERROR(_xlfn.XLOOKUP(1,(TRIM(CostData!$B$22:$B$1000)="Aluminium")*(TRIM(CostData!$C$22:$C$1000)="CWS")*(TRIM(CostData!$E$22:$E$1000)=TRIM(CalcEngine!$T5)),_xlfn.SWITCH(TRIM(Enginuity!$A$19),"N/A",CostData!$H$22:$H$1000,"M/B",CostData!$I$22:$I$1000,"P/C",CostData!$J$22:$J$1000,"W/G",CostData!$K$22:$K$1000,""),""),""))</f>
        <v/>
      </c>
    </row>
    <row r="6" spans="1:23" x14ac:dyDescent="0.25">
      <c r="A6" s="422"/>
      <c r="B6" s="435"/>
      <c r="C6" s="435"/>
      <c r="D6" s="435"/>
      <c r="E6" s="435"/>
      <c r="F6" s="435"/>
      <c r="G6" s="435"/>
      <c r="H6" s="435"/>
      <c r="I6" s="435"/>
      <c r="J6" s="435"/>
      <c r="K6" s="435"/>
      <c r="L6" s="435"/>
      <c r="M6" s="435"/>
      <c r="N6" s="435"/>
      <c r="O6" s="435"/>
      <c r="P6" s="435" t="str">
        <f>IF(OR(TRIM($A6)&lt;&gt;TRIM(Enginuity!$A$1),TRIM($C6)&lt;&gt;TRIM(Enginuity!$A$18),TRIM($U6)="",$V6="",$V6=0,$W6="",$W6=0),"",ROW())</f>
        <v/>
      </c>
      <c r="Q6" s="437"/>
      <c r="R6" s="437"/>
      <c r="T6" s="435"/>
      <c r="U6" s="437"/>
      <c r="V6" s="437"/>
      <c r="W6" s="423" t="str" cm="1">
        <f t="array" ref="W6">IF(OR(TRIM(CalcEngine!$A6)&lt;&gt;TRIM(Enginuity!$A$1),TRIM(CalcEngine!$C6)&lt;&gt;TRIM(Enginuity!$A$18),CalcEngine!$V6="",CalcEngine!$V6=0),"",IFERROR(_xlfn.XLOOKUP(1,(TRIM(CostData!$B$22:$B$1000)="Aluminium")*(TRIM(CostData!$C$22:$C$1000)="CWS")*(TRIM(CostData!$E$22:$E$1000)=TRIM(CalcEngine!$T6)),_xlfn.SWITCH(TRIM(Enginuity!$A$19),"N/A",CostData!$H$22:$H$1000,"M/B",CostData!$I$22:$I$1000,"P/C",CostData!$J$22:$J$1000,"W/G",CostData!$K$22:$K$1000,""),""),""))</f>
        <v/>
      </c>
    </row>
    <row r="7" spans="1:23" x14ac:dyDescent="0.25">
      <c r="A7" s="422"/>
      <c r="B7" s="435"/>
      <c r="C7" s="435"/>
      <c r="D7" s="435"/>
      <c r="E7" s="435"/>
      <c r="F7" s="435"/>
      <c r="G7" s="435"/>
      <c r="H7" s="435"/>
      <c r="I7" s="435"/>
      <c r="J7" s="435"/>
      <c r="K7" s="435"/>
      <c r="L7" s="435"/>
      <c r="M7" s="435"/>
      <c r="N7" s="435"/>
      <c r="O7" s="435"/>
      <c r="P7" s="435" t="str">
        <f>IF(OR(TRIM($A7)&lt;&gt;TRIM(Enginuity!$A$1),TRIM($C7)&lt;&gt;TRIM(Enginuity!$A$18),TRIM($U7)="",$V7="",$V7=0,$W7="",$W7=0),"",ROW())</f>
        <v/>
      </c>
      <c r="Q7" s="437"/>
      <c r="R7" s="437"/>
      <c r="T7" s="435"/>
      <c r="U7" s="437"/>
      <c r="V7" s="437"/>
      <c r="W7" s="423" t="str" cm="1">
        <f t="array" ref="W7">IF(OR(TRIM(CalcEngine!$A7)&lt;&gt;TRIM(Enginuity!$A$1),TRIM(CalcEngine!$C7)&lt;&gt;TRIM(Enginuity!$A$18),CalcEngine!$V7="",CalcEngine!$V7=0),"",IFERROR(_xlfn.XLOOKUP(1,(TRIM(CostData!$B$22:$B$1000)="Aluminium")*(TRIM(CostData!$C$22:$C$1000)="CWS")*(TRIM(CostData!$E$22:$E$1000)=TRIM(CalcEngine!$T7)),_xlfn.SWITCH(TRIM(Enginuity!$A$19),"N/A",CostData!$H$22:$H$1000,"M/B",CostData!$I$22:$I$1000,"P/C",CostData!$J$22:$J$1000,"W/G",CostData!$K$22:$K$1000,""),""),""))</f>
        <v/>
      </c>
    </row>
    <row r="8" spans="1:23" x14ac:dyDescent="0.25">
      <c r="A8" s="422"/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 t="str">
        <f>IF(OR(TRIM($A8)&lt;&gt;TRIM(Enginuity!$A$1),TRIM($C8)&lt;&gt;TRIM(Enginuity!$A$18),TRIM($U8)="",$V8="",$V8=0,$W8="",$W8=0),"",ROW())</f>
        <v/>
      </c>
      <c r="Q8" s="437"/>
      <c r="R8" s="437"/>
      <c r="T8" s="435"/>
      <c r="U8" s="437"/>
      <c r="V8" s="437"/>
      <c r="W8" s="423" t="str" cm="1">
        <f t="array" ref="W8">IF(OR(TRIM(CalcEngine!$A8)&lt;&gt;TRIM(Enginuity!$A$1),TRIM(CalcEngine!$C8)&lt;&gt;TRIM(Enginuity!$A$18),CalcEngine!$V8="",CalcEngine!$V8=0),"",IFERROR(_xlfn.XLOOKUP(1,(TRIM(CostData!$B$22:$B$1000)="Aluminium")*(TRIM(CostData!$C$22:$C$1000)="CWS")*(TRIM(CostData!$E$22:$E$1000)=TRIM(CalcEngine!$T8)),_xlfn.SWITCH(TRIM(Enginuity!$A$19),"N/A",CostData!$H$22:$H$1000,"M/B",CostData!$I$22:$I$1000,"P/C",CostData!$J$22:$J$1000,"W/G",CostData!$K$22:$K$1000,""),""),""))</f>
        <v/>
      </c>
    </row>
    <row r="9" spans="1:23" x14ac:dyDescent="0.25">
      <c r="A9" s="422"/>
      <c r="B9" s="435"/>
      <c r="C9" s="435"/>
      <c r="D9" s="435"/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 t="str">
        <f>IF(OR(TRIM($A9)&lt;&gt;TRIM(Enginuity!$A$1),TRIM($C9)&lt;&gt;TRIM(Enginuity!$A$18),TRIM($U9)="",$V9="",$V9=0,$W9="",$W9=0),"",ROW())</f>
        <v/>
      </c>
      <c r="Q9" s="437"/>
      <c r="R9" s="437"/>
      <c r="T9" s="435"/>
      <c r="U9" s="437"/>
      <c r="V9" s="437"/>
      <c r="W9" s="423" t="str" cm="1">
        <f t="array" ref="W9">IF(OR(TRIM(CalcEngine!$A9)&lt;&gt;TRIM(Enginuity!$A$1),TRIM(CalcEngine!$C9)&lt;&gt;TRIM(Enginuity!$A$18),CalcEngine!$V9="",CalcEngine!$V9=0),"",IFERROR(_xlfn.XLOOKUP(1,(TRIM(CostData!$B$22:$B$1000)="Aluminium")*(TRIM(CostData!$C$22:$C$1000)="CWS")*(TRIM(CostData!$E$22:$E$1000)=TRIM(CalcEngine!$T9)),_xlfn.SWITCH(TRIM(Enginuity!$A$19),"N/A",CostData!$H$22:$H$1000,"M/B",CostData!$I$22:$I$1000,"P/C",CostData!$J$22:$J$1000,"W/G",CostData!$K$22:$K$1000,""),""),""))</f>
        <v/>
      </c>
    </row>
    <row r="10" spans="1:23" x14ac:dyDescent="0.25">
      <c r="A10" s="422"/>
      <c r="B10" s="435"/>
      <c r="C10" s="435"/>
      <c r="D10" s="435"/>
      <c r="E10" s="435"/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7"/>
      <c r="R10" s="437"/>
      <c r="T10" s="435"/>
      <c r="U10" s="437"/>
      <c r="V10" s="437"/>
      <c r="W10" s="423" t="str" cm="1">
        <f t="array" ref="W10">IF(OR(TRIM(CalcEngine!$A10)&lt;&gt;TRIM(Enginuity!$A$1),TRIM(CalcEngine!$C10)&lt;&gt;TRIM(Enginuity!$A$18),CalcEngine!$V10="",CalcEngine!$V10=0),"",IFERROR(_xlfn.XLOOKUP(1,(TRIM(CostData!$B$22:$B$1000)="Aluminium")*(TRIM(CostData!$C$22:$C$1000)="CWS")*(TRIM(CostData!$E$22:$E$1000)=TRIM(CalcEngine!$T10)),_xlfn.SWITCH(TRIM(Enginuity!$A$19),"N/A",CostData!$H$22:$H$1000,"M/B",CostData!$I$22:$I$1000,"P/C",CostData!$J$22:$J$1000,"W/G",CostData!$K$22:$K$1000,""),""),""))</f>
        <v/>
      </c>
    </row>
    <row r="11" spans="1:23" x14ac:dyDescent="0.25">
      <c r="A11" s="422"/>
      <c r="B11" s="435"/>
      <c r="C11" s="435"/>
      <c r="D11" s="435"/>
      <c r="E11" s="435"/>
      <c r="F11" s="435"/>
      <c r="G11" s="435"/>
      <c r="H11" s="435"/>
      <c r="I11" s="435"/>
      <c r="J11" s="435"/>
      <c r="K11" s="435"/>
      <c r="L11" s="435"/>
      <c r="M11" s="435"/>
      <c r="N11" s="435"/>
      <c r="O11" s="435"/>
      <c r="P11" s="435"/>
      <c r="Q11" s="437"/>
      <c r="R11" s="437"/>
      <c r="T11" s="435"/>
      <c r="U11" s="437"/>
      <c r="V11" s="437"/>
      <c r="W11" s="423" t="str" cm="1">
        <f t="array" ref="W11">IF(OR(TRIM(CalcEngine!$A11)&lt;&gt;TRIM(Enginuity!$A$1),TRIM(CalcEngine!$C11)&lt;&gt;TRIM(Enginuity!$A$18),CalcEngine!$V11="",CalcEngine!$V11=0),"",IFERROR(_xlfn.XLOOKUP(1,(TRIM(CostData!$B$22:$B$1000)="Aluminium")*(TRIM(CostData!$C$22:$C$1000)="CWS")*(TRIM(CostData!$E$22:$E$1000)=TRIM(CalcEngine!$T11)),_xlfn.SWITCH(TRIM(Enginuity!$A$19),"N/A",CostData!$H$22:$H$1000,"M/B",CostData!$I$22:$I$1000,"P/C",CostData!$J$22:$J$1000,"W/G",CostData!$K$22:$K$1000,""),""),""))</f>
        <v/>
      </c>
    </row>
    <row r="12" spans="1:23" x14ac:dyDescent="0.25">
      <c r="A12" s="422"/>
      <c r="B12" s="435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7"/>
      <c r="R12" s="437"/>
      <c r="T12" s="435"/>
      <c r="U12" s="437"/>
      <c r="V12" s="437"/>
      <c r="W12" s="423" t="str" cm="1">
        <f t="array" ref="W12">IF(OR(TRIM(CalcEngine!$A12)&lt;&gt;TRIM(Enginuity!$A$1),TRIM(CalcEngine!$C12)&lt;&gt;TRIM(Enginuity!$A$18),CalcEngine!$V12="",CalcEngine!$V12=0),"",IFERROR(_xlfn.XLOOKUP(1,(TRIM(CostData!$B$22:$B$1000)="Aluminium")*(TRIM(CostData!$C$22:$C$1000)="CWS")*(TRIM(CostData!$E$22:$E$1000)=TRIM(CalcEngine!$T12)),_xlfn.SWITCH(TRIM(Enginuity!$A$19),"N/A",CostData!$H$22:$H$1000,"M/B",CostData!$I$22:$I$1000,"P/C",CostData!$J$22:$J$1000,"W/G",CostData!$K$22:$K$1000,""),""),""))</f>
        <v/>
      </c>
    </row>
    <row r="13" spans="1:23" x14ac:dyDescent="0.25">
      <c r="A13" s="422"/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5"/>
      <c r="P13" s="435"/>
      <c r="Q13" s="437"/>
      <c r="R13" s="437"/>
      <c r="T13" s="435"/>
      <c r="U13" s="437"/>
      <c r="V13" s="437"/>
      <c r="W13" s="423" t="str" cm="1">
        <f t="array" ref="W13">IF(OR(TRIM(CalcEngine!$A13)&lt;&gt;TRIM(Enginuity!$A$1),TRIM(CalcEngine!$C13)&lt;&gt;TRIM(Enginuity!$A$18),CalcEngine!$V13="",CalcEngine!$V13=0),"",IFERROR(_xlfn.XLOOKUP(1,(TRIM(CostData!$B$22:$B$1000)="Aluminium")*(TRIM(CostData!$C$22:$C$1000)="CWS")*(TRIM(CostData!$E$22:$E$1000)=TRIM(CalcEngine!$T13)),_xlfn.SWITCH(TRIM(Enginuity!$A$19),"N/A",CostData!$H$22:$H$1000,"M/B",CostData!$I$22:$I$1000,"P/C",CostData!$J$22:$J$1000,"W/G",CostData!$K$22:$K$1000,""),""),""))</f>
        <v/>
      </c>
    </row>
    <row r="14" spans="1:23" x14ac:dyDescent="0.25">
      <c r="A14" s="422"/>
      <c r="B14" s="435"/>
      <c r="C14" s="435"/>
      <c r="D14" s="435"/>
      <c r="E14" s="435"/>
      <c r="F14" s="435"/>
      <c r="G14" s="435"/>
      <c r="H14" s="435"/>
      <c r="I14" s="435"/>
      <c r="J14" s="435"/>
      <c r="K14" s="435"/>
      <c r="L14" s="435"/>
      <c r="M14" s="435"/>
      <c r="N14" s="435"/>
      <c r="O14" s="435"/>
      <c r="P14" s="435"/>
      <c r="Q14" s="437"/>
      <c r="R14" s="437"/>
      <c r="T14" s="435"/>
      <c r="U14" s="437"/>
      <c r="V14" s="437"/>
      <c r="W14" s="423" t="str" cm="1">
        <f t="array" ref="W14">IF(OR(TRIM(CalcEngine!$A14)&lt;&gt;TRIM(Enginuity!$A$1),TRIM(CalcEngine!$C14)&lt;&gt;TRIM(Enginuity!$A$18),CalcEngine!$V14="",CalcEngine!$V14=0),"",IFERROR(_xlfn.XLOOKUP(1,(TRIM(CostData!$B$22:$B$1000)="Aluminium")*(TRIM(CostData!$C$22:$C$1000)="CWS")*(TRIM(CostData!$E$22:$E$1000)=TRIM(CalcEngine!$T14)),_xlfn.SWITCH(TRIM(Enginuity!$A$19),"N/A",CostData!$H$22:$H$1000,"M/B",CostData!$I$22:$I$1000,"P/C",CostData!$J$22:$J$1000,"W/G",CostData!$K$22:$K$1000,""),""),""))</f>
        <v/>
      </c>
    </row>
    <row r="15" spans="1:23" x14ac:dyDescent="0.25">
      <c r="A15" s="422"/>
      <c r="B15" s="435"/>
      <c r="C15" s="435"/>
      <c r="D15" s="435"/>
      <c r="E15" s="435"/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 t="str">
        <f>IF(OR(TRIM($A15)&lt;&gt;TRIM(Enginuity!$A$1),TRIM($C15)&lt;&gt;TRIM(Enginuity!$A$18),TRIM($U15)="",$V15="",$V15=0,$W15="",$W15=0),"",ROW())</f>
        <v/>
      </c>
      <c r="Q15" s="437"/>
      <c r="R15" s="437"/>
      <c r="T15" s="435"/>
      <c r="U15" s="437"/>
      <c r="V15" s="437"/>
      <c r="W15" s="423" t="str" cm="1">
        <f t="array" ref="W15">IF(OR(TRIM(CalcEngine!$A15)&lt;&gt;TRIM(Enginuity!$A$1),TRIM(CalcEngine!$C15)&lt;&gt;TRIM(Enginuity!$A$18),CalcEngine!$V15="",CalcEngine!$V15=0),"",IFERROR(_xlfn.XLOOKUP(1,(TRIM(CostData!$B$22:$B$1000)="Aluminium")*(TRIM(CostData!$C$22:$C$1000)="CWS")*(TRIM(CostData!$E$22:$E$1000)=TRIM(CalcEngine!$T15)),_xlfn.SWITCH(TRIM(Enginuity!$A$19),"N/A",CostData!$H$22:$H$1000,"M/B",CostData!$I$22:$I$1000,"P/C",CostData!$J$22:$J$1000,"W/G",CostData!$K$22:$K$1000,""),""),""))</f>
        <v/>
      </c>
    </row>
    <row r="16" spans="1:23" x14ac:dyDescent="0.25">
      <c r="A16" s="422"/>
      <c r="B16" s="435"/>
      <c r="C16" s="435"/>
      <c r="D16" s="435"/>
      <c r="E16" s="435"/>
      <c r="F16" s="435"/>
      <c r="G16" s="435"/>
      <c r="H16" s="435"/>
      <c r="I16" s="435"/>
      <c r="J16" s="435"/>
      <c r="K16" s="435"/>
      <c r="L16" s="435"/>
      <c r="M16" s="435"/>
      <c r="N16" s="435"/>
      <c r="O16" s="435"/>
      <c r="P16" s="435" t="str">
        <f>IF(OR(TRIM($A16)&lt;&gt;TRIM(Enginuity!$A$1),TRIM($C16)&lt;&gt;TRIM(Enginuity!$A$18),TRIM($U16)="",$V16="",$V16=0,$W16="",$W16=0),"",ROW())</f>
        <v/>
      </c>
      <c r="Q16" s="437"/>
      <c r="R16" s="437"/>
      <c r="T16" s="435"/>
      <c r="U16" s="437"/>
      <c r="V16" s="437"/>
      <c r="W16" s="423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422"/>
      <c r="B17" s="435"/>
      <c r="C17" s="435"/>
      <c r="D17" s="435"/>
      <c r="E17" s="435"/>
      <c r="F17" s="435"/>
      <c r="G17" s="435"/>
      <c r="H17" s="435"/>
      <c r="I17" s="435"/>
      <c r="J17" s="435"/>
      <c r="K17" s="435"/>
      <c r="L17" s="435"/>
      <c r="M17" s="435"/>
      <c r="N17" s="435"/>
      <c r="O17" s="435"/>
      <c r="P17" s="435" t="str">
        <f>IF(OR(TRIM($A17)&lt;&gt;TRIM(Enginuity!$A$1),TRIM($C17)&lt;&gt;TRIM(Enginuity!$A$18),TRIM($U17)="",$V17="",$V17=0,$W17="",$W17=0),"",ROW())</f>
        <v/>
      </c>
      <c r="Q17" s="437"/>
      <c r="R17" s="437"/>
      <c r="T17" s="435"/>
      <c r="U17" s="437"/>
      <c r="V17" s="437"/>
      <c r="W17" s="423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422"/>
      <c r="B18" s="435"/>
      <c r="C18" s="435"/>
      <c r="D18" s="435"/>
      <c r="E18" s="435"/>
      <c r="F18" s="435"/>
      <c r="G18" s="435"/>
      <c r="H18" s="435"/>
      <c r="I18" s="435"/>
      <c r="J18" s="435"/>
      <c r="K18" s="435"/>
      <c r="L18" s="435"/>
      <c r="M18" s="435"/>
      <c r="N18" s="435"/>
      <c r="O18" s="435"/>
      <c r="P18" s="435" t="str">
        <f>IF(OR(TRIM($A18)&lt;&gt;TRIM(Enginuity!$A$1),TRIM($C18)&lt;&gt;TRIM(Enginuity!$A$18),TRIM($U18)="",$V18="",$V18=0,$W18="",$W18=0),"",ROW())</f>
        <v/>
      </c>
      <c r="Q18" s="437"/>
      <c r="R18" s="437"/>
      <c r="T18" s="435"/>
      <c r="U18" s="437"/>
      <c r="V18" s="437"/>
      <c r="W18" s="423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422"/>
      <c r="B19" s="435"/>
      <c r="C19" s="435"/>
      <c r="D19" s="435"/>
      <c r="E19" s="435"/>
      <c r="F19" s="435"/>
      <c r="G19" s="435"/>
      <c r="H19" s="435"/>
      <c r="I19" s="435"/>
      <c r="J19" s="435"/>
      <c r="K19" s="435"/>
      <c r="L19" s="435"/>
      <c r="M19" s="435"/>
      <c r="N19" s="435"/>
      <c r="O19" s="435"/>
      <c r="P19" s="435" t="str">
        <f>IF(OR(TRIM($A19)&lt;&gt;TRIM(Enginuity!$A$1),TRIM($C19)&lt;&gt;TRIM(Enginuity!$A$18),TRIM($U19)="",$V19="",$V19=0,$W19="",$W19=0),"",ROW())</f>
        <v/>
      </c>
      <c r="Q19" s="437"/>
      <c r="R19" s="437"/>
      <c r="T19" s="435"/>
      <c r="U19" s="437"/>
      <c r="V19" s="437"/>
      <c r="W19" s="423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422"/>
      <c r="B20" s="435"/>
      <c r="C20" s="435"/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 t="str">
        <f>IF(OR(TRIM($A20)&lt;&gt;TRIM(Enginuity!$A$1),TRIM($C20)&lt;&gt;TRIM(Enginuity!$A$18),TRIM($U20)="",$V20="",$V20=0,$W20="",$W20=0),"",ROW())</f>
        <v/>
      </c>
      <c r="Q20" s="437"/>
      <c r="R20" s="437"/>
      <c r="T20" s="435"/>
      <c r="U20" s="437"/>
      <c r="V20" s="437"/>
      <c r="W20" s="423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422"/>
      <c r="B21" s="435"/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 t="str">
        <f>IF(OR(TRIM($A21)&lt;&gt;TRIM(Enginuity!$A$1),TRIM($C21)&lt;&gt;TRIM(Enginuity!$A$18),TRIM($U21)="",$V21="",$V21=0,$W21="",$W21=0),"",ROW())</f>
        <v/>
      </c>
      <c r="Q21" s="437"/>
      <c r="R21" s="437"/>
      <c r="T21" s="435"/>
      <c r="U21" s="437"/>
      <c r="V21" s="437"/>
      <c r="W21" s="423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422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 t="str">
        <f>IF(OR(TRIM($A22)&lt;&gt;TRIM(Enginuity!$A$1),TRIM($C22)&lt;&gt;TRIM(Enginuity!$A$18),TRIM($U22)="",$V22="",$V22=0,$W22="",$W22=0),"",ROW())</f>
        <v/>
      </c>
      <c r="Q22" s="437"/>
      <c r="R22" s="437"/>
      <c r="T22" s="435"/>
      <c r="U22" s="437"/>
      <c r="V22" s="437"/>
      <c r="W22" s="423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422"/>
      <c r="B23" s="435"/>
      <c r="C23" s="435"/>
      <c r="D23" s="435"/>
      <c r="E23" s="435"/>
      <c r="F23" s="435"/>
      <c r="G23" s="435"/>
      <c r="H23" s="435"/>
      <c r="I23" s="435"/>
      <c r="J23" s="435"/>
      <c r="K23" s="435"/>
      <c r="L23" s="435"/>
      <c r="M23" s="435"/>
      <c r="N23" s="435"/>
      <c r="O23" s="435"/>
      <c r="P23" s="435" t="str">
        <f>IF(OR(TRIM($A23)&lt;&gt;TRIM(Enginuity!$A$1),TRIM($C23)&lt;&gt;TRIM(Enginuity!$A$18),TRIM($U23)="",$V23="",$V23=0,$W23="",$W23=0),"",ROW())</f>
        <v/>
      </c>
      <c r="Q23" s="437"/>
      <c r="R23" s="437"/>
      <c r="T23" s="435"/>
      <c r="U23" s="437"/>
      <c r="V23" s="437"/>
      <c r="W23" s="423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422"/>
      <c r="B24" s="435"/>
      <c r="C24" s="435"/>
      <c r="D24" s="435"/>
      <c r="E24" s="435"/>
      <c r="F24" s="435"/>
      <c r="G24" s="435"/>
      <c r="H24" s="435"/>
      <c r="I24" s="435"/>
      <c r="J24" s="435"/>
      <c r="K24" s="435"/>
      <c r="L24" s="435"/>
      <c r="M24" s="435"/>
      <c r="N24" s="435"/>
      <c r="O24" s="435"/>
      <c r="P24" s="435" t="str">
        <f>IF(OR(TRIM($A24)&lt;&gt;TRIM(Enginuity!$A$1),TRIM($C24)&lt;&gt;TRIM(Enginuity!$A$18),TRIM($U24)="",$V24="",$V24=0,$W24="",$W24=0),"",ROW())</f>
        <v/>
      </c>
      <c r="Q24" s="437"/>
      <c r="R24" s="437"/>
      <c r="T24" s="435"/>
      <c r="U24" s="437"/>
      <c r="V24" s="437"/>
      <c r="W24" s="423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422"/>
      <c r="B25" s="435"/>
      <c r="C25" s="435"/>
      <c r="D25" s="435"/>
      <c r="E25" s="435"/>
      <c r="F25" s="435"/>
      <c r="G25" s="435"/>
      <c r="H25" s="435"/>
      <c r="I25" s="435"/>
      <c r="J25" s="435"/>
      <c r="K25" s="435"/>
      <c r="L25" s="435"/>
      <c r="M25" s="435"/>
      <c r="N25" s="435"/>
      <c r="O25" s="435"/>
      <c r="P25" s="435" t="str">
        <f>IF(OR(TRIM($A25)&lt;&gt;TRIM(Enginuity!$A$1),TRIM($C25)&lt;&gt;TRIM(Enginuity!$A$18),TRIM($U25)="",$V25="",$V25=0,$W25="",$W25=0),"",ROW())</f>
        <v/>
      </c>
      <c r="Q25" s="437"/>
      <c r="R25" s="437"/>
      <c r="T25" s="435"/>
      <c r="U25" s="437"/>
      <c r="V25" s="437"/>
      <c r="W25" s="423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422"/>
      <c r="B26" s="435"/>
      <c r="C26" s="435"/>
      <c r="D26" s="435"/>
      <c r="E26" s="435"/>
      <c r="F26" s="435"/>
      <c r="G26" s="435"/>
      <c r="H26" s="435"/>
      <c r="I26" s="435"/>
      <c r="J26" s="435"/>
      <c r="K26" s="435"/>
      <c r="L26" s="435"/>
      <c r="M26" s="435"/>
      <c r="N26" s="435"/>
      <c r="O26" s="435"/>
      <c r="P26" s="435" t="str">
        <f>IF(OR(TRIM($A26)&lt;&gt;TRIM(Enginuity!$A$1),TRIM($C26)&lt;&gt;TRIM(Enginuity!$A$18),TRIM($U26)="",$V26="",$V26=0,$W26="",$W26=0),"",ROW())</f>
        <v/>
      </c>
      <c r="Q26" s="437"/>
      <c r="R26" s="437"/>
      <c r="T26" s="435"/>
      <c r="U26" s="437"/>
      <c r="V26" s="437"/>
      <c r="W26" s="423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422"/>
      <c r="B27" s="435"/>
      <c r="C27" s="435"/>
      <c r="D27" s="435"/>
      <c r="E27" s="435"/>
      <c r="F27" s="435"/>
      <c r="G27" s="435"/>
      <c r="H27" s="435"/>
      <c r="I27" s="435"/>
      <c r="J27" s="435"/>
      <c r="K27" s="435"/>
      <c r="L27" s="435"/>
      <c r="M27" s="435"/>
      <c r="N27" s="435"/>
      <c r="O27" s="435"/>
      <c r="P27" s="435" t="str">
        <f>IF(OR(TRIM($A27)&lt;&gt;TRIM(Enginuity!$A$1),TRIM($C27)&lt;&gt;TRIM(Enginuity!$A$18),TRIM($U27)="",$V27="",$V27=0,$W27="",$W27=0),"",ROW())</f>
        <v/>
      </c>
      <c r="Q27" s="437"/>
      <c r="R27" s="437"/>
      <c r="T27" s="435"/>
      <c r="U27" s="437"/>
      <c r="V27" s="437"/>
      <c r="W27" s="423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422"/>
      <c r="B28" s="435"/>
      <c r="C28" s="435"/>
      <c r="D28" s="435"/>
      <c r="E28" s="435"/>
      <c r="F28" s="435"/>
      <c r="G28" s="435"/>
      <c r="H28" s="435"/>
      <c r="I28" s="435"/>
      <c r="J28" s="435"/>
      <c r="K28" s="435"/>
      <c r="L28" s="435"/>
      <c r="M28" s="435"/>
      <c r="N28" s="435"/>
      <c r="O28" s="435"/>
      <c r="P28" s="435" t="str">
        <f>IF(OR(TRIM($A28)&lt;&gt;TRIM(Enginuity!$A$1),TRIM($C28)&lt;&gt;TRIM(Enginuity!$A$18),TRIM($U28)="",$V28="",$V28=0,$W28="",$W28=0),"",ROW())</f>
        <v/>
      </c>
      <c r="Q28" s="437"/>
      <c r="R28" s="437"/>
      <c r="T28" s="435"/>
      <c r="U28" s="437"/>
      <c r="V28" s="437"/>
      <c r="W28" s="423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422"/>
      <c r="B29" s="435"/>
      <c r="C29" s="435"/>
      <c r="D29" s="435"/>
      <c r="E29" s="435"/>
      <c r="F29" s="435"/>
      <c r="G29" s="435"/>
      <c r="H29" s="435"/>
      <c r="I29" s="435"/>
      <c r="J29" s="435"/>
      <c r="K29" s="435"/>
      <c r="L29" s="435"/>
      <c r="M29" s="435"/>
      <c r="N29" s="435"/>
      <c r="O29" s="435"/>
      <c r="P29" s="435" t="str">
        <f>IF(OR(TRIM($A29)&lt;&gt;TRIM(Enginuity!$A$1),TRIM($C29)&lt;&gt;TRIM(Enginuity!$A$18),TRIM($U29)="",$V29="",$V29=0,$W29="",$W29=0),"",ROW())</f>
        <v/>
      </c>
      <c r="Q29" s="437"/>
      <c r="R29" s="437"/>
      <c r="T29" s="435"/>
      <c r="U29" s="437"/>
      <c r="V29" s="437"/>
      <c r="W29" s="423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422"/>
      <c r="B30" s="435"/>
      <c r="C30" s="435"/>
      <c r="D30" s="435"/>
      <c r="E30" s="435"/>
      <c r="F30" s="435"/>
      <c r="G30" s="435"/>
      <c r="H30" s="435"/>
      <c r="I30" s="435"/>
      <c r="J30" s="435"/>
      <c r="K30" s="435"/>
      <c r="L30" s="435"/>
      <c r="M30" s="435"/>
      <c r="N30" s="435"/>
      <c r="O30" s="435"/>
      <c r="P30" s="435" t="str">
        <f>IF(OR(TRIM($A30)&lt;&gt;TRIM(Enginuity!$A$1),TRIM($C30)&lt;&gt;TRIM(Enginuity!$A$18),TRIM($U30)="",$V30="",$V30=0,$W30="",$W30=0),"",ROW())</f>
        <v/>
      </c>
      <c r="Q30" s="437"/>
      <c r="R30" s="437"/>
      <c r="T30" s="435"/>
      <c r="U30" s="437"/>
      <c r="V30" s="437"/>
      <c r="W30" s="423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420"/>
      <c r="B31" s="437"/>
      <c r="C31" s="437"/>
      <c r="D31" s="437"/>
      <c r="E31" s="437"/>
      <c r="F31" s="437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T31" s="437"/>
      <c r="U31" s="437"/>
      <c r="V31" s="437"/>
      <c r="W31" s="421"/>
    </row>
    <row r="32" spans="1:23" x14ac:dyDescent="0.25">
      <c r="A32" s="422"/>
      <c r="B32" s="435"/>
      <c r="C32" s="435"/>
      <c r="D32" s="435"/>
      <c r="E32" s="435"/>
      <c r="F32" s="435"/>
      <c r="G32" s="435"/>
      <c r="H32" s="435"/>
      <c r="I32" s="435"/>
      <c r="J32" s="435"/>
      <c r="K32" s="435"/>
      <c r="L32" s="435"/>
      <c r="M32" s="436"/>
      <c r="N32" s="435"/>
      <c r="O32" s="435"/>
      <c r="P32" s="435"/>
      <c r="Q32" s="437"/>
      <c r="R32" s="437"/>
      <c r="T32" s="435"/>
      <c r="U32" s="437"/>
      <c r="V32" s="437"/>
      <c r="W32" s="423"/>
    </row>
    <row r="33" spans="1:23" x14ac:dyDescent="0.25">
      <c r="A33" s="422"/>
      <c r="B33" s="435"/>
      <c r="C33" s="435"/>
      <c r="D33" s="435"/>
      <c r="E33" s="435"/>
      <c r="F33" s="435"/>
      <c r="G33" s="435"/>
      <c r="H33" s="435"/>
      <c r="I33" s="435"/>
      <c r="J33" s="435"/>
      <c r="K33" s="435"/>
      <c r="L33" s="435"/>
      <c r="M33" s="435"/>
      <c r="N33" s="435"/>
      <c r="O33" s="435"/>
      <c r="P33" s="435"/>
      <c r="Q33" s="437"/>
      <c r="R33" s="437"/>
      <c r="T33" s="435"/>
      <c r="U33" s="437"/>
      <c r="V33" s="437"/>
      <c r="W33" s="423"/>
    </row>
    <row r="34" spans="1:23" x14ac:dyDescent="0.25">
      <c r="A34" s="422"/>
      <c r="B34" s="435"/>
      <c r="C34" s="435"/>
      <c r="D34" s="435"/>
      <c r="E34" s="435"/>
      <c r="F34" s="435"/>
      <c r="G34" s="435"/>
      <c r="H34" s="435"/>
      <c r="I34" s="435"/>
      <c r="J34" s="435"/>
      <c r="K34" s="435"/>
      <c r="L34" s="435"/>
      <c r="M34" s="435"/>
      <c r="N34" s="435"/>
      <c r="O34" s="435"/>
      <c r="P34" s="435"/>
      <c r="Q34" s="437"/>
      <c r="R34" s="437"/>
      <c r="T34" s="435"/>
      <c r="U34" s="437"/>
      <c r="V34" s="437"/>
      <c r="W34" s="423"/>
    </row>
    <row r="35" spans="1:23" x14ac:dyDescent="0.25">
      <c r="A35" s="422"/>
      <c r="B35" s="435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  <c r="N35" s="435"/>
      <c r="O35" s="435"/>
      <c r="P35" s="435"/>
      <c r="Q35" s="437"/>
      <c r="R35" s="437"/>
      <c r="T35" s="435"/>
      <c r="U35" s="437"/>
      <c r="V35" s="437"/>
      <c r="W35" s="423"/>
    </row>
    <row r="36" spans="1:23" x14ac:dyDescent="0.25">
      <c r="A36" s="422"/>
      <c r="B36" s="435"/>
      <c r="C36" s="435"/>
      <c r="D36" s="435"/>
      <c r="E36" s="435"/>
      <c r="F36" s="435"/>
      <c r="G36" s="435"/>
      <c r="H36" s="435"/>
      <c r="I36" s="435"/>
      <c r="J36" s="435"/>
      <c r="K36" s="435"/>
      <c r="L36" s="435"/>
      <c r="M36" s="435"/>
      <c r="N36" s="435"/>
      <c r="O36" s="435"/>
      <c r="P36" s="435"/>
      <c r="Q36" s="437"/>
      <c r="R36" s="437"/>
      <c r="T36" s="435"/>
      <c r="U36" s="437"/>
      <c r="V36" s="437"/>
      <c r="W36" s="423"/>
    </row>
    <row r="37" spans="1:23" x14ac:dyDescent="0.25">
      <c r="A37" s="422"/>
      <c r="B37" s="435"/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 t="str">
        <f>IF(OR(TRIM($A37)&lt;&gt;TRIM(Enginuity!$A$1),TRIM($C37)&lt;&gt;TRIM(Enginuity!$A$18),TRIM($U37)="",$V37="",$V37=0,$W37="",$W37=0),"",ROW())</f>
        <v/>
      </c>
      <c r="Q37" s="437"/>
      <c r="R37" s="437"/>
      <c r="T37" s="435"/>
      <c r="U37" s="437"/>
      <c r="V37" s="437"/>
      <c r="W37" s="423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422"/>
      <c r="B38" s="435"/>
      <c r="C38" s="435"/>
      <c r="D38" s="435"/>
      <c r="E38" s="435"/>
      <c r="F38" s="435"/>
      <c r="G38" s="435"/>
      <c r="H38" s="435"/>
      <c r="I38" s="435"/>
      <c r="J38" s="435"/>
      <c r="K38" s="435"/>
      <c r="L38" s="435"/>
      <c r="M38" s="435"/>
      <c r="N38" s="435"/>
      <c r="O38" s="435"/>
      <c r="P38" s="435" t="str">
        <f>IF(OR(TRIM($A38)&lt;&gt;TRIM(Enginuity!$A$1),TRIM($C38)&lt;&gt;TRIM(Enginuity!$A$18),TRIM($U38)="",$V38="",$V38=0,$W38="",$W38=0),"",ROW())</f>
        <v/>
      </c>
      <c r="Q38" s="437"/>
      <c r="R38" s="437"/>
      <c r="T38" s="435"/>
      <c r="U38" s="437"/>
      <c r="V38" s="437"/>
      <c r="W38" s="423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422"/>
      <c r="B39" s="435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  <c r="N39" s="435"/>
      <c r="O39" s="435"/>
      <c r="P39" s="435" t="str">
        <f>IF(OR(TRIM($A39)&lt;&gt;TRIM(Enginuity!$A$1),TRIM($C39)&lt;&gt;TRIM(Enginuity!$A$18),TRIM($U39)="",$V39="",$V39=0,$W39="",$W39=0),"",ROW())</f>
        <v/>
      </c>
      <c r="Q39" s="437"/>
      <c r="R39" s="437"/>
      <c r="T39" s="435"/>
      <c r="U39" s="437"/>
      <c r="V39" s="437"/>
      <c r="W39" s="423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422"/>
      <c r="B40" s="435"/>
      <c r="C40" s="435"/>
      <c r="D40" s="435"/>
      <c r="E40" s="435"/>
      <c r="F40" s="435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7"/>
      <c r="R40" s="437"/>
      <c r="T40" s="435"/>
      <c r="U40" s="437"/>
      <c r="V40" s="437"/>
      <c r="W40" s="423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422"/>
      <c r="B41" s="435"/>
      <c r="C41" s="435"/>
      <c r="D41" s="435"/>
      <c r="E41" s="435"/>
      <c r="F41" s="435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7"/>
      <c r="R41" s="437"/>
      <c r="T41" s="435"/>
      <c r="U41" s="437"/>
      <c r="V41" s="437"/>
      <c r="W41" s="423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422"/>
      <c r="B42" s="435"/>
      <c r="C42" s="435"/>
      <c r="D42" s="435"/>
      <c r="E42" s="435"/>
      <c r="F42" s="435"/>
      <c r="G42" s="435"/>
      <c r="H42" s="435"/>
      <c r="I42" s="435"/>
      <c r="J42" s="435"/>
      <c r="K42" s="435"/>
      <c r="L42" s="435"/>
      <c r="M42" s="435"/>
      <c r="N42" s="435"/>
      <c r="O42" s="435"/>
      <c r="P42" s="435"/>
      <c r="Q42" s="437"/>
      <c r="R42" s="437"/>
      <c r="T42" s="435"/>
      <c r="U42" s="437"/>
      <c r="V42" s="437"/>
      <c r="W42" s="423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422"/>
      <c r="B43" s="435"/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7"/>
      <c r="R43" s="437"/>
      <c r="T43" s="435"/>
      <c r="U43" s="437"/>
      <c r="V43" s="437"/>
      <c r="W43" s="423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422"/>
      <c r="B44" s="435"/>
      <c r="C44" s="435"/>
      <c r="D44" s="435"/>
      <c r="E44" s="435"/>
      <c r="F44" s="435"/>
      <c r="G44" s="435"/>
      <c r="H44" s="435"/>
      <c r="I44" s="435"/>
      <c r="J44" s="435"/>
      <c r="K44" s="435"/>
      <c r="L44" s="435"/>
      <c r="M44" s="435"/>
      <c r="N44" s="435"/>
      <c r="O44" s="435"/>
      <c r="P44" s="435"/>
      <c r="Q44" s="437"/>
      <c r="R44" s="437"/>
      <c r="T44" s="435"/>
      <c r="U44" s="437"/>
      <c r="V44" s="437"/>
      <c r="W44" s="423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422"/>
      <c r="B45" s="435"/>
      <c r="C45" s="435"/>
      <c r="D45" s="435"/>
      <c r="E45" s="435"/>
      <c r="F45" s="435"/>
      <c r="G45" s="435"/>
      <c r="H45" s="435"/>
      <c r="I45" s="435"/>
      <c r="J45" s="435"/>
      <c r="K45" s="435"/>
      <c r="L45" s="435"/>
      <c r="M45" s="435"/>
      <c r="N45" s="435"/>
      <c r="O45" s="435"/>
      <c r="P45" s="435" t="str">
        <f>IF(OR(TRIM($A45)&lt;&gt;TRIM(Enginuity!$A$1),TRIM($C45)&lt;&gt;TRIM(Enginuity!$A$18),TRIM($U45)="",$V45="",$V45=0,$W45="",$W45=0),"",ROW())</f>
        <v/>
      </c>
      <c r="Q45" s="437"/>
      <c r="R45" s="437"/>
      <c r="T45" s="435"/>
      <c r="U45" s="437"/>
      <c r="V45" s="437"/>
      <c r="W45" s="423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422"/>
      <c r="B46" s="435"/>
      <c r="C46" s="435"/>
      <c r="D46" s="435"/>
      <c r="E46" s="435"/>
      <c r="F46" s="435"/>
      <c r="G46" s="435"/>
      <c r="H46" s="435"/>
      <c r="I46" s="435"/>
      <c r="J46" s="435"/>
      <c r="K46" s="435"/>
      <c r="L46" s="435"/>
      <c r="M46" s="435"/>
      <c r="N46" s="435"/>
      <c r="O46" s="435"/>
      <c r="P46" s="435" t="str">
        <f>IF(OR(TRIM($A46)&lt;&gt;TRIM(Enginuity!$A$1),TRIM($C46)&lt;&gt;TRIM(Enginuity!$A$18),TRIM($U46)="",$V46="",$V46=0,$W46="",$W46=0),"",ROW())</f>
        <v/>
      </c>
      <c r="Q46" s="437"/>
      <c r="R46" s="437"/>
      <c r="T46" s="435"/>
      <c r="U46" s="437"/>
      <c r="V46" s="437"/>
      <c r="W46" s="423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422"/>
      <c r="B47" s="435"/>
      <c r="C47" s="435"/>
      <c r="D47" s="435"/>
      <c r="E47" s="435"/>
      <c r="F47" s="435"/>
      <c r="G47" s="435"/>
      <c r="H47" s="435"/>
      <c r="I47" s="435"/>
      <c r="J47" s="435"/>
      <c r="K47" s="435"/>
      <c r="L47" s="435"/>
      <c r="M47" s="435"/>
      <c r="N47" s="435"/>
      <c r="O47" s="435"/>
      <c r="P47" s="435" t="str">
        <f>IF(OR(TRIM($A47)&lt;&gt;TRIM(Enginuity!$A$1),TRIM($C47)&lt;&gt;TRIM(Enginuity!$A$18),TRIM($U47)="",$V47="",$V47=0,$W47="",$W47=0),"",ROW())</f>
        <v/>
      </c>
      <c r="Q47" s="437"/>
      <c r="R47" s="437"/>
      <c r="T47" s="435"/>
      <c r="U47" s="437"/>
      <c r="V47" s="437"/>
      <c r="W47" s="423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422"/>
      <c r="B48" s="435"/>
      <c r="C48" s="435"/>
      <c r="D48" s="435"/>
      <c r="E48" s="435"/>
      <c r="F48" s="435"/>
      <c r="G48" s="435"/>
      <c r="H48" s="435"/>
      <c r="I48" s="435"/>
      <c r="J48" s="435"/>
      <c r="K48" s="435"/>
      <c r="L48" s="435"/>
      <c r="M48" s="435"/>
      <c r="N48" s="435"/>
      <c r="O48" s="435"/>
      <c r="P48" s="435" t="str">
        <f>IF(OR(TRIM($A48)&lt;&gt;TRIM(Enginuity!$A$1),TRIM($C48)&lt;&gt;TRIM(Enginuity!$A$18),TRIM($U48)="",$V48="",$V48=0,$W48="",$W48=0),"",ROW())</f>
        <v/>
      </c>
      <c r="Q48" s="437"/>
      <c r="R48" s="437"/>
      <c r="T48" s="435"/>
      <c r="U48" s="437"/>
      <c r="V48" s="437"/>
      <c r="W48" s="423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422"/>
      <c r="B49" s="435"/>
      <c r="C49" s="435"/>
      <c r="D49" s="435"/>
      <c r="E49" s="435"/>
      <c r="F49" s="435"/>
      <c r="G49" s="435"/>
      <c r="H49" s="435"/>
      <c r="I49" s="435"/>
      <c r="J49" s="435"/>
      <c r="K49" s="435"/>
      <c r="L49" s="435"/>
      <c r="M49" s="435"/>
      <c r="N49" s="435"/>
      <c r="O49" s="435"/>
      <c r="P49" s="435" t="str">
        <f>IF(OR(TRIM($A49)&lt;&gt;TRIM(Enginuity!$A$1),TRIM($C49)&lt;&gt;TRIM(Enginuity!$A$18),TRIM($U49)="",$V49="",$V49=0,$W49="",$W49=0),"",ROW())</f>
        <v/>
      </c>
      <c r="Q49" s="437"/>
      <c r="R49" s="437"/>
      <c r="T49" s="435"/>
      <c r="U49" s="437"/>
      <c r="V49" s="437"/>
      <c r="W49" s="423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422"/>
      <c r="B50" s="435"/>
      <c r="C50" s="435"/>
      <c r="D50" s="435"/>
      <c r="E50" s="435"/>
      <c r="F50" s="435"/>
      <c r="G50" s="435"/>
      <c r="H50" s="435"/>
      <c r="I50" s="435"/>
      <c r="J50" s="435"/>
      <c r="K50" s="435"/>
      <c r="L50" s="435"/>
      <c r="M50" s="435"/>
      <c r="N50" s="435"/>
      <c r="O50" s="435"/>
      <c r="P50" s="435" t="str">
        <f>IF(OR(TRIM($A50)&lt;&gt;TRIM(Enginuity!$A$1),TRIM($C50)&lt;&gt;TRIM(Enginuity!$A$18),TRIM($U50)="",$V50="",$V50=0,$W50="",$W50=0),"",ROW())</f>
        <v/>
      </c>
      <c r="Q50" s="437"/>
      <c r="R50" s="437"/>
      <c r="T50" s="435"/>
      <c r="U50" s="437"/>
      <c r="V50" s="437"/>
      <c r="W50" s="423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422"/>
      <c r="B51" s="435"/>
      <c r="C51" s="435"/>
      <c r="D51" s="435"/>
      <c r="E51" s="435"/>
      <c r="F51" s="435"/>
      <c r="G51" s="435"/>
      <c r="H51" s="435"/>
      <c r="I51" s="435"/>
      <c r="J51" s="435"/>
      <c r="K51" s="435"/>
      <c r="L51" s="435"/>
      <c r="M51" s="435"/>
      <c r="N51" s="435"/>
      <c r="O51" s="435"/>
      <c r="P51" s="435" t="str">
        <f>IF(OR(TRIM($A51)&lt;&gt;TRIM(Enginuity!$A$1),TRIM($C51)&lt;&gt;TRIM(Enginuity!$A$18),TRIM($U51)="",$V51="",$V51=0,$W51="",$W51=0),"",ROW())</f>
        <v/>
      </c>
      <c r="Q51" s="437"/>
      <c r="R51" s="437"/>
      <c r="T51" s="435"/>
      <c r="U51" s="437"/>
      <c r="V51" s="437"/>
      <c r="W51" s="423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422"/>
      <c r="B52" s="435"/>
      <c r="C52" s="435"/>
      <c r="D52" s="435"/>
      <c r="E52" s="435"/>
      <c r="F52" s="435"/>
      <c r="G52" s="435"/>
      <c r="H52" s="435"/>
      <c r="I52" s="435"/>
      <c r="J52" s="435"/>
      <c r="K52" s="435"/>
      <c r="L52" s="435"/>
      <c r="M52" s="435"/>
      <c r="N52" s="435"/>
      <c r="O52" s="435"/>
      <c r="P52" s="435" t="str">
        <f>IF(OR(TRIM($A52)&lt;&gt;TRIM(Enginuity!$A$1),TRIM($C52)&lt;&gt;TRIM(Enginuity!$A$18),TRIM($U52)="",$V52="",$V52=0,$W52="",$W52=0),"",ROW())</f>
        <v/>
      </c>
      <c r="Q52" s="437"/>
      <c r="R52" s="437"/>
      <c r="T52" s="435"/>
      <c r="U52" s="437"/>
      <c r="V52" s="437"/>
      <c r="W52" s="423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422"/>
      <c r="B53" s="435"/>
      <c r="C53" s="435"/>
      <c r="D53" s="435"/>
      <c r="E53" s="435"/>
      <c r="F53" s="435"/>
      <c r="G53" s="435"/>
      <c r="H53" s="435"/>
      <c r="I53" s="435"/>
      <c r="J53" s="435"/>
      <c r="K53" s="435"/>
      <c r="L53" s="435"/>
      <c r="M53" s="435"/>
      <c r="N53" s="435"/>
      <c r="O53" s="435"/>
      <c r="P53" s="435" t="str">
        <f>IF(OR(TRIM($A53)&lt;&gt;TRIM(Enginuity!$A$1),TRIM($C53)&lt;&gt;TRIM(Enginuity!$A$18),TRIM($U53)="",$V53="",$V53=0,$W53="",$W53=0),"",ROW())</f>
        <v/>
      </c>
      <c r="Q53" s="437"/>
      <c r="R53" s="437"/>
      <c r="T53" s="435"/>
      <c r="U53" s="437"/>
      <c r="V53" s="437"/>
      <c r="W53" s="423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422"/>
      <c r="B54" s="435"/>
      <c r="C54" s="435"/>
      <c r="D54" s="435"/>
      <c r="E54" s="435"/>
      <c r="F54" s="435"/>
      <c r="G54" s="435"/>
      <c r="H54" s="435"/>
      <c r="I54" s="435"/>
      <c r="J54" s="435"/>
      <c r="K54" s="435"/>
      <c r="L54" s="435"/>
      <c r="M54" s="435"/>
      <c r="N54" s="435"/>
      <c r="O54" s="435"/>
      <c r="P54" s="435" t="str">
        <f>IF(OR(TRIM($A54)&lt;&gt;TRIM(Enginuity!$A$1),TRIM($C54)&lt;&gt;TRIM(Enginuity!$A$18),TRIM($U54)="",$V54="",$V54=0,$W54="",$W54=0),"",ROW())</f>
        <v/>
      </c>
      <c r="Q54" s="437"/>
      <c r="R54" s="437"/>
      <c r="T54" s="435"/>
      <c r="U54" s="437"/>
      <c r="V54" s="437"/>
      <c r="W54" s="423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422"/>
      <c r="B55" s="435"/>
      <c r="C55" s="435"/>
      <c r="D55" s="435"/>
      <c r="E55" s="435"/>
      <c r="F55" s="435"/>
      <c r="G55" s="435"/>
      <c r="H55" s="435"/>
      <c r="I55" s="435"/>
      <c r="J55" s="435"/>
      <c r="K55" s="435"/>
      <c r="L55" s="435"/>
      <c r="M55" s="435"/>
      <c r="N55" s="435"/>
      <c r="O55" s="435"/>
      <c r="P55" s="435" t="str">
        <f>IF(OR(TRIM($A55)&lt;&gt;TRIM(Enginuity!$A$1),TRIM($C55)&lt;&gt;TRIM(Enginuity!$A$18),TRIM($U55)="",$V55="",$V55=0,$W55="",$W55=0),"",ROW())</f>
        <v/>
      </c>
      <c r="Q55" s="437"/>
      <c r="R55" s="437"/>
      <c r="T55" s="435"/>
      <c r="U55" s="437"/>
      <c r="V55" s="437"/>
      <c r="W55" s="423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422"/>
      <c r="B56" s="435"/>
      <c r="C56" s="435"/>
      <c r="D56" s="435"/>
      <c r="E56" s="435"/>
      <c r="F56" s="435"/>
      <c r="G56" s="435"/>
      <c r="H56" s="435"/>
      <c r="I56" s="435"/>
      <c r="J56" s="435"/>
      <c r="K56" s="435"/>
      <c r="L56" s="435"/>
      <c r="M56" s="435"/>
      <c r="N56" s="435"/>
      <c r="O56" s="435"/>
      <c r="P56" s="435" t="str">
        <f>IF(OR(TRIM($A56)&lt;&gt;TRIM(Enginuity!$A$1),TRIM($C56)&lt;&gt;TRIM(Enginuity!$A$18),TRIM($U56)="",$V56="",$V56=0,$W56="",$W56=0),"",ROW())</f>
        <v/>
      </c>
      <c r="Q56" s="437"/>
      <c r="R56" s="437"/>
      <c r="T56" s="435"/>
      <c r="U56" s="437"/>
      <c r="V56" s="437"/>
      <c r="W56" s="423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422"/>
      <c r="B57" s="435"/>
      <c r="C57" s="435"/>
      <c r="D57" s="435"/>
      <c r="E57" s="435"/>
      <c r="F57" s="435"/>
      <c r="G57" s="435"/>
      <c r="H57" s="435"/>
      <c r="I57" s="435"/>
      <c r="J57" s="435"/>
      <c r="K57" s="435"/>
      <c r="L57" s="435"/>
      <c r="M57" s="435"/>
      <c r="N57" s="435"/>
      <c r="O57" s="435"/>
      <c r="P57" s="435" t="str">
        <f>IF(OR(TRIM($A57)&lt;&gt;TRIM(Enginuity!$A$1),TRIM($C57)&lt;&gt;TRIM(Enginuity!$A$18),TRIM($U57)="",$V57="",$V57=0,$W57="",$W57=0),"",ROW())</f>
        <v/>
      </c>
      <c r="Q57" s="437"/>
      <c r="R57" s="437"/>
      <c r="T57" s="435"/>
      <c r="U57" s="437"/>
      <c r="V57" s="437"/>
      <c r="W57" s="423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422"/>
      <c r="B58" s="435"/>
      <c r="C58" s="435"/>
      <c r="D58" s="435"/>
      <c r="E58" s="435"/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 t="str">
        <f>IF(OR(TRIM($A58)&lt;&gt;TRIM(Enginuity!$A$1),TRIM($C58)&lt;&gt;TRIM(Enginuity!$A$18),TRIM($U58)="",$V58="",$V58=0,$W58="",$W58=0),"",ROW())</f>
        <v/>
      </c>
      <c r="Q58" s="437"/>
      <c r="R58" s="437"/>
      <c r="T58" s="435"/>
      <c r="U58" s="437"/>
      <c r="V58" s="437"/>
      <c r="W58" s="423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422"/>
      <c r="B59" s="435"/>
      <c r="C59" s="435"/>
      <c r="D59" s="435"/>
      <c r="E59" s="435"/>
      <c r="F59" s="435"/>
      <c r="G59" s="435"/>
      <c r="H59" s="435"/>
      <c r="I59" s="435"/>
      <c r="J59" s="435"/>
      <c r="K59" s="435"/>
      <c r="L59" s="435"/>
      <c r="M59" s="435"/>
      <c r="N59" s="435"/>
      <c r="O59" s="435"/>
      <c r="P59" s="435" t="str">
        <f>IF(OR(TRIM($A59)&lt;&gt;TRIM(Enginuity!$A$1),TRIM($C59)&lt;&gt;TRIM(Enginuity!$A$18),TRIM($U59)="",$V59="",$V59=0,$W59="",$W59=0),"",ROW())</f>
        <v/>
      </c>
      <c r="Q59" s="437"/>
      <c r="R59" s="437"/>
      <c r="T59" s="435"/>
      <c r="U59" s="437"/>
      <c r="V59" s="437"/>
      <c r="W59" s="423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1835</v>
      </c>
      <c r="G60" s="409" t="s">
        <v>1836</v>
      </c>
      <c r="H60" s="409" t="s">
        <v>1837</v>
      </c>
      <c r="I60" s="409" t="s">
        <v>1838</v>
      </c>
      <c r="J60" s="409" t="s">
        <v>1839</v>
      </c>
      <c r="K60" s="409" t="s">
        <v>1840</v>
      </c>
      <c r="L60" s="409" t="s">
        <v>1841</v>
      </c>
      <c r="M60" s="409" t="s">
        <v>1842</v>
      </c>
      <c r="N60" s="409" t="s">
        <v>1843</v>
      </c>
      <c r="O60" s="409" t="s">
        <v>1983</v>
      </c>
      <c r="P60" s="409" t="s">
        <v>1844</v>
      </c>
      <c r="Q60" s="409" t="s">
        <v>1811</v>
      </c>
      <c r="R60" s="409" t="s">
        <v>1875</v>
      </c>
      <c r="S60" s="417" t="s">
        <v>1757</v>
      </c>
      <c r="T60" s="409" t="s">
        <v>1791</v>
      </c>
      <c r="U60" s="409" t="s">
        <v>102</v>
      </c>
      <c r="V60" s="409" t="s">
        <v>1846</v>
      </c>
      <c r="W60" s="410" t="s">
        <v>430</v>
      </c>
    </row>
    <row r="61" spans="1:23" x14ac:dyDescent="0.25">
      <c r="A61" s="275" t="s">
        <v>254</v>
      </c>
      <c r="B61" s="370" t="s">
        <v>1847</v>
      </c>
      <c r="C61" s="370" t="s">
        <v>3</v>
      </c>
      <c r="D61" s="370" t="s">
        <v>1793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1859</v>
      </c>
      <c r="J61" s="370" t="s">
        <v>1860</v>
      </c>
      <c r="K61" s="370" t="s">
        <v>1861</v>
      </c>
      <c r="L61" s="370" t="s">
        <v>1862</v>
      </c>
      <c r="M61" s="411">
        <v>0.54649999999999999</v>
      </c>
      <c r="N61" s="370">
        <v>609.6</v>
      </c>
      <c r="P61" s="370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" t="s">
        <v>1813</v>
      </c>
      <c r="S61" s="24" t="s">
        <v>1928</v>
      </c>
      <c r="T61" s="370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1849</v>
      </c>
      <c r="C62" s="370" t="s">
        <v>3</v>
      </c>
      <c r="D62" s="370" t="s">
        <v>1815</v>
      </c>
      <c r="E62" s="370" t="str">
        <v>12mm Bronze Tempered Glass Panel</v>
      </c>
      <c r="G62" s="370" t="s">
        <v>1867</v>
      </c>
      <c r="H62" s="370" t="s">
        <v>1867</v>
      </c>
      <c r="P62" s="370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1850</v>
      </c>
      <c r="S62" s="24" t="s">
        <v>1929</v>
      </c>
      <c r="T62" s="370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1794</v>
      </c>
      <c r="E63" s="370" t="str">
        <v>12mm Clear Float Glass</v>
      </c>
      <c r="G63" s="370" t="s">
        <v>1868</v>
      </c>
      <c r="H63" s="370" t="s">
        <v>1868</v>
      </c>
      <c r="P63" s="370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1864</v>
      </c>
      <c r="S63" s="24" t="s">
        <v>1930</v>
      </c>
      <c r="T63" s="370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1848</v>
      </c>
      <c r="C64" s="370" t="s">
        <v>3</v>
      </c>
      <c r="D64" s="370" t="s">
        <v>1816</v>
      </c>
      <c r="E64" s="370" t="str">
        <v>12mm Clear Tempered Glass Panel</v>
      </c>
      <c r="G64" s="370" t="s">
        <v>1869</v>
      </c>
      <c r="H64" s="370" t="s">
        <v>1869</v>
      </c>
      <c r="P64" s="370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1863</v>
      </c>
      <c r="S64" s="24" t="s">
        <v>1930</v>
      </c>
      <c r="T64" s="370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>12mm Crystal Tempered Glass Panel</v>
      </c>
      <c r="G65" s="370" t="s">
        <v>1870</v>
      </c>
      <c r="H65" s="370" t="s">
        <v>1870</v>
      </c>
      <c r="P65" s="370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370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>12mm Euro Grey Tempered Glass Panel</v>
      </c>
      <c r="G66" s="370" t="s">
        <v>1871</v>
      </c>
      <c r="H66" s="370" t="s">
        <v>1871</v>
      </c>
      <c r="P66" s="370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" t="str">
        <f>IF(Enginuity!$A$22="","",Enginuity!$A$22&amp;" Fix Window")</f>
        <v>▼ [Lattice] Fix Window</v>
      </c>
      <c r="T66" s="370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>12mm Frosted Float Glass</v>
      </c>
      <c r="G67" s="370" t="s">
        <v>1872</v>
      </c>
      <c r="H67" s="370" t="s">
        <v>1872</v>
      </c>
      <c r="P67" s="370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370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>12mm Green Tempered Glass Panel</v>
      </c>
      <c r="G68" s="370" t="s">
        <v>1873</v>
      </c>
      <c r="H68" s="370" t="s">
        <v>1873</v>
      </c>
      <c r="P68" s="370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370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>12mm Grey Tempered Glass Panel</v>
      </c>
      <c r="G69" s="370" t="s">
        <v>1874</v>
      </c>
      <c r="H69" s="370" t="s">
        <v>1874</v>
      </c>
      <c r="P69" s="370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370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>12mm Partition Board Gypsum 4ft x 8ft ★</v>
      </c>
      <c r="P70" s="370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370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370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370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370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370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370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370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370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370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370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370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370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370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370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1834</v>
      </c>
      <c r="R77" s="1" t="str">
        <f>IF($T77="","","⬒ "&amp;$T77)</f>
        <v>⬒ Default</v>
      </c>
      <c r="T77" s="370" t="str">
        <f>IF(Enginuity!$A$20="","",Enginuity!$A$20)</f>
        <v>Default</v>
      </c>
      <c r="U77" s="1" t="s">
        <v>121</v>
      </c>
      <c r="V77" s="1">
        <f>IF(Enginuity!$B$9="","",Enginuity!$B$9)</f>
        <v>300</v>
      </c>
      <c r="W77" s="400">
        <f>IFERROR(INDEX(CostData!$Q$3:$Q$12,MATCH(TRIM(Enginuity!$A$20),CostData!$P$3:$P$12,0)),"")</f>
        <v>3.9</v>
      </c>
    </row>
    <row r="78" spans="1:23" x14ac:dyDescent="0.25">
      <c r="A78" s="275" t="s">
        <v>254</v>
      </c>
      <c r="C78" s="370" t="s">
        <v>3</v>
      </c>
      <c r="P78" s="370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370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370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370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Q82" s="370"/>
      <c r="S82" s="419"/>
      <c r="W82" s="400"/>
    </row>
    <row r="83" spans="1:23" x14ac:dyDescent="0.25">
      <c r="A83" s="275" t="s">
        <v>254</v>
      </c>
      <c r="C83" s="370" t="s">
        <v>3</v>
      </c>
      <c r="P83" s="370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370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419" t="s">
        <v>1881</v>
      </c>
      <c r="T83" s="370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370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370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419" t="s">
        <v>1880</v>
      </c>
      <c r="T84" s="370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1524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370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370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419" t="s">
        <v>113</v>
      </c>
      <c r="T85" s="370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370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370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419" t="s">
        <v>1899</v>
      </c>
      <c r="T86" s="370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68905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370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370" t="str">
        <f>IF($S87="","",IFERROR(_xlfn.XLOOKUP($S87,CostData!$U$22:$U$1000,CostData!$T$22:$T$1000,""),""))</f>
        <v>Gasket</v>
      </c>
      <c r="R87" s="1" t="s">
        <v>1933</v>
      </c>
      <c r="S87" s="24" t="s">
        <v>1914</v>
      </c>
      <c r="T87" s="370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300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370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370" t="str">
        <f>IF($S88="","",IFERROR(_xlfn.XLOOKUP($S88,CostData!$U$22:$U$1000,CostData!$T$22:$T$1000,""),""))</f>
        <v>Gasket</v>
      </c>
      <c r="R88" s="1" t="s">
        <v>1934</v>
      </c>
      <c r="S88" s="24" t="s">
        <v>1918</v>
      </c>
      <c r="T88" s="370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45760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370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370" t="str">
        <f>IF($S89="","",IFERROR(_xlfn.XLOOKUP($S89,CostData!$U$22:$U$1000,CostData!$T$22:$T$1000,""),""))</f>
        <v>Gasket</v>
      </c>
      <c r="R89" s="1" t="s">
        <v>1932</v>
      </c>
      <c r="S89" s="24">
        <v>6154</v>
      </c>
      <c r="T89" s="370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45760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9" t="str">
        <f>IF($S90="","",IFERROR(_xlfn.XLOOKUP($S90,CostData!$U$22:$U$1000,CostData!$T$22:$T$1000,""),""))</f>
        <v>Gasket</v>
      </c>
      <c r="R90" s="401" t="s">
        <v>1935</v>
      </c>
      <c r="S90" s="418">
        <v>6154</v>
      </c>
      <c r="T90" s="399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45690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1847</v>
      </c>
      <c r="C91" s="370" t="s">
        <v>1974</v>
      </c>
      <c r="D91" s="370" t="s">
        <v>1793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1859</v>
      </c>
      <c r="J91" s="370" t="s">
        <v>1860</v>
      </c>
      <c r="K91" s="370" t="s">
        <v>1861</v>
      </c>
      <c r="L91" s="370" t="s">
        <v>1862</v>
      </c>
      <c r="M91" s="411">
        <v>0.54649999999999999</v>
      </c>
      <c r="N91" s="370">
        <v>609.6</v>
      </c>
      <c r="O91" s="370" t="s">
        <v>1975</v>
      </c>
      <c r="P91" s="370" cm="1">
        <f t="array" ref="P91">_xlfn.LET(_xlpm.a,INDEX($A:$A,ROW()),_xlpm.c,INDEX($C:$C,ROW()),_xlpm.v,INDEX($V:$V,ROW()),_xlpm.w,INDEX($W:$W,ROW()),IF(OR(TRIM(_xlpm.a)&lt;&gt;TRIM(Enginuity!$A$1),TRIM(_xlpm.c)&lt;&gt;TRIM(Enginuity!$A$18),_xlpm.v="",_xlpm.v=0,_xlpm.w=""),"",ROW()))</f>
        <v>91</v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1813</v>
      </c>
      <c r="S91" s="24" t="s">
        <v>1960</v>
      </c>
      <c r="T91" s="370" t="str" cm="1">
        <f t="array" ref="T91">_xlfn.LET(_xlpm.cd,INDEX($S:$S,ROW()),IF(_xlpm.cd="","",IFERROR(_xlfn.XLOOKUP(_xlpm.cd,CostData!$C$22:$C$1000,CostData!$E$22:$E$1000,""),"")))</f>
        <v>Outer 13764</v>
      </c>
      <c r="U91" s="1" t="s">
        <v>103</v>
      </c>
      <c r="V91" s="1" cm="1">
        <f t="array" ref="V91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91" s="400" cm="1">
        <f t="array" ref="W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8.59</v>
      </c>
    </row>
    <row r="92" spans="1:23" x14ac:dyDescent="0.25">
      <c r="A92" s="275" t="s">
        <v>254</v>
      </c>
      <c r="B92" s="370" t="s">
        <v>1849</v>
      </c>
      <c r="C92" s="370" t="s">
        <v>1974</v>
      </c>
      <c r="D92" s="370" t="s">
        <v>1815</v>
      </c>
      <c r="E92" s="370" t="str">
        <v>12mm Bronze Tempered Glass Panel</v>
      </c>
      <c r="F92" s="370" t="s">
        <v>1937</v>
      </c>
      <c r="H92" s="370" t="s">
        <v>1867</v>
      </c>
      <c r="M92" s="411">
        <v>0.01</v>
      </c>
      <c r="N92" s="370">
        <v>1</v>
      </c>
      <c r="O92" s="370" t="s">
        <v>1976</v>
      </c>
      <c r="P92" s="370" cm="1">
        <f t="array" ref="P92">_xlfn.LET(_xlpm.a,INDEX($A:$A,ROW()),_xlpm.c,INDEX($C:$C,ROW()),_xlpm.v,INDEX($V:$V,ROW()),_xlpm.w,INDEX($W:$W,ROW()),IF(OR(TRIM(_xlpm.a)&lt;&gt;TRIM(Enginuity!$A$1),TRIM(_xlpm.c)&lt;&gt;TRIM(Enginuity!$A$18),_xlpm.v="",_xlpm.v=0,_xlpm.w=""),"",ROW()))</f>
        <v>92</v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1864</v>
      </c>
      <c r="S92" s="24" t="s">
        <v>1961</v>
      </c>
      <c r="T92" s="370" t="str" cm="1">
        <f t="array" ref="T92">_xlfn.LET(_xlpm.cd,INDEX($S:$S,ROW()),IF(_xlpm.cd="","",IFERROR(_xlfn.XLOOKUP(_xlpm.cd,CostData!$C$22:$C$1000,CostData!$E$22:$E$1000,""),"")))</f>
        <v>Mullion 13756</v>
      </c>
      <c r="U92" s="1" t="s">
        <v>103</v>
      </c>
      <c r="V92" s="1">
        <f>_xlfn.LET(
_xlpm.nm,TRIM($R92),
_xlpm.w,Enginuity!$B$6,
_xlpm.h,Enginuity!$B$7,
_xlpm.spanMM,Enginuity!$B$15,
_xlpm.spanFT,IF(_xlpm.spanMM&gt;0,_xlpm.spanMM/304.8,0),
_xlpm.hLimFT,3601/304.8,
_xlpm.vCount,IF(_xlpm.spanFT&gt;0,MAX(ROUNDUP(_xlpm.w/_xlpm.spanFT,0)-1,0),0),
_xlpm.hCount,MAX(ROUNDUP(_xlpm.h/_xlpm.hLimFT,0)-1,0),
_xlpm.vQty,_xlpm.vCount*_xlpm.h,
_xlpm.hQty,_xlpm.hCount*_xlpm.w,
IF(_xlpm.nm="Vertical Mullion ↕",IF(_xlpm.vQty=0,"",_xlpm.vQty),
IF(_xlpm.nm="Horizontal Mullion ↔",IF(_xlpm.hQty=0,"",_xlpm.hQty),
""))
)</f>
        <v>22845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1.33</v>
      </c>
    </row>
    <row r="93" spans="1:23" x14ac:dyDescent="0.25">
      <c r="A93" s="275" t="s">
        <v>254</v>
      </c>
      <c r="B93" s="370" t="s">
        <v>382</v>
      </c>
      <c r="C93" s="370" t="s">
        <v>1974</v>
      </c>
      <c r="D93" s="370" t="s">
        <v>1794</v>
      </c>
      <c r="E93" s="370" t="str">
        <v>12mm Clear Float Glass</v>
      </c>
      <c r="F93" s="370" t="s">
        <v>1980</v>
      </c>
      <c r="H93" s="370" t="s">
        <v>1868</v>
      </c>
      <c r="M93" s="411">
        <v>0.02</v>
      </c>
      <c r="N93" s="370">
        <v>2</v>
      </c>
      <c r="O93" s="370" t="s">
        <v>1977</v>
      </c>
      <c r="P93" s="370" cm="1">
        <f t="array" ref="P93">_xlfn.LET(_xlpm.a,INDEX($A:$A,ROW()),_xlpm.c,INDEX($C:$C,ROW()),_xlpm.v,INDEX($V:$V,ROW()),_xlpm.w,INDEX($W:$W,ROW()),IF(OR(TRIM(_xlpm.a)&lt;&gt;TRIM(Enginuity!$A$1),TRIM(_xlpm.c)&lt;&gt;TRIM(Enginuity!$A$18),_xlpm.v="",_xlpm.v=0,_xlpm.w=""),"",ROW()))</f>
        <v>93</v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1864</v>
      </c>
      <c r="S93" s="24" t="s">
        <v>1962</v>
      </c>
      <c r="T93" s="370" t="str" cm="1">
        <f t="array" ref="T93">_xlfn.LET(_xlpm.cd,INDEX($S:$S,ROW()),IF(_xlpm.cd="","",IFERROR(_xlfn.XLOOKUP(_xlpm.cd,CostData!$C$22:$C$1000,CostData!$E$22:$E$1000,""),"")))</f>
        <v>Mullion 13762</v>
      </c>
      <c r="U93" s="1" t="s">
        <v>103</v>
      </c>
      <c r="V93" s="1">
        <f>_xlfn.LET(
_xlpm.nm,TRIM($R93),
_xlpm.w,Enginuity!$B$6,
_xlpm.h,Enginuity!$B$7,
_xlpm.spanMM,Enginuity!$B$15,
_xlpm.spanFT,IF(_xlpm.spanMM&gt;0,_xlpm.spanMM/304.8,0),
_xlpm.hLimFT,3601/304.8,
_xlpm.vCount,IF(_xlpm.spanFT&gt;0,MAX(ROUNDUP(_xlpm.w/_xlpm.spanFT,0)-1,0),0),
_xlpm.hCount,MAX(ROUNDUP(_xlpm.h/_xlpm.hLimFT,0)-1,0),
_xlpm.vQty,_xlpm.vCount*_xlpm.h,
_xlpm.hQty,_xlpm.hCount*_xlpm.w,
IF(_xlpm.nm="Vertical Mullion ↕",IF(_xlpm.vQty=0,"",_xlpm.vQty),
IF(_xlpm.nm="Horizontal Mullion ↔",IF(_xlpm.hQty=0,"",_xlpm.hQty),
""))
)</f>
        <v>22845</v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8.92</v>
      </c>
    </row>
    <row r="94" spans="1:23" x14ac:dyDescent="0.25">
      <c r="A94" s="275" t="s">
        <v>254</v>
      </c>
      <c r="B94" s="370" t="s">
        <v>1848</v>
      </c>
      <c r="C94" s="370" t="s">
        <v>1974</v>
      </c>
      <c r="D94" s="370" t="s">
        <v>1816</v>
      </c>
      <c r="E94" s="370" t="str">
        <v>12mm Clear Tempered Glass Panel</v>
      </c>
      <c r="F94" s="370" t="s">
        <v>1981</v>
      </c>
      <c r="H94" s="370" t="s">
        <v>1869</v>
      </c>
      <c r="M94" s="411">
        <v>0.03</v>
      </c>
      <c r="N94" s="370">
        <v>3</v>
      </c>
      <c r="O94" s="370" t="s">
        <v>1978</v>
      </c>
      <c r="P94" s="370" cm="1">
        <f t="array" ref="P94">_xlfn.LET(_xlpm.a,INDEX($A:$A,ROW()),_xlpm.c,INDEX($C:$C,ROW()),_xlpm.v,INDEX($V:$V,ROW()),_xlpm.w,INDEX($W:$W,ROW()),IF(OR(TRIM(_xlpm.a)&lt;&gt;TRIM(Enginuity!$A$1),TRIM(_xlpm.c)&lt;&gt;TRIM(Enginuity!$A$18),_xlpm.v="",_xlpm.v=0,_xlpm.w=""),"",ROW()))</f>
        <v>94</v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1863</v>
      </c>
      <c r="S94" s="24" t="s">
        <v>1963</v>
      </c>
      <c r="T94" s="370" t="str" cm="1">
        <f t="array" ref="T94">_xlfn.LET(_xlpm.cd,INDEX($S:$S,ROW()),IF(_xlpm.cd="","",IFERROR(_xlfn.XLOOKUP(_xlpm.cd,CostData!$C$22:$C$1000,CostData!$E$22:$E$1000,""),"")))</f>
        <v>Mullion 13763</v>
      </c>
      <c r="U94" s="1" t="s">
        <v>103</v>
      </c>
      <c r="V94" s="1">
        <f>_xlfn.LET(
_xlpm.nm,TRIM($R94),
_xlpm.w,Enginuity!$B$6,
_xlpm.h,Enginuity!$B$7,
_xlpm.spanMM,Enginuity!$B$15,
_xlpm.spanFT,IF(_xlpm.spanMM&gt;0,_xlpm.spanMM/304.8,0),
_xlpm.hLimFT,3601/304.8,
_xlpm.vCount,IF(_xlpm.spanFT&gt;0,MAX(ROUNDUP(_xlpm.w/_xlpm.spanFT,0)-1,0),0),
_xlpm.hCount,MAX(ROUNDUP(_xlpm.h/_xlpm.hLimFT,0)-1,0),
_xlpm.vQty,_xlpm.vCount*_xlpm.h,
_xlpm.hQty,_xlpm.hCount*_xlpm.w,
IF(_xlpm.nm="Vertical Mullion ↕",IF(_xlpm.vQty=0,"",_xlpm.vQty),
IF(_xlpm.nm="Horizontal Mullion ↔",IF(_xlpm.hQty=0,"",_xlpm.hQty),
""))
)</f>
        <v>20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</v>
      </c>
    </row>
    <row r="95" spans="1:23" x14ac:dyDescent="0.25">
      <c r="A95" s="275" t="s">
        <v>254</v>
      </c>
      <c r="C95" s="370" t="s">
        <v>1974</v>
      </c>
      <c r="E95" s="370" t="str">
        <v>12mm Crystal Tempered Glass Panel</v>
      </c>
      <c r="F95" s="370" t="s">
        <v>1982</v>
      </c>
      <c r="H95" s="370" t="s">
        <v>1870</v>
      </c>
      <c r="M95" s="411">
        <v>0.04</v>
      </c>
      <c r="N95" s="370">
        <v>4</v>
      </c>
      <c r="O95" s="370" t="s">
        <v>1979</v>
      </c>
      <c r="P95" s="370" cm="1">
        <f t="array" ref="P95">_xlfn.LET(_xlpm.a,INDEX($A:$A,ROW()),_xlpm.c,INDEX($C:$C,ROW()),_xlpm.v,INDEX($V:$V,ROW()),_xlpm.w,INDEX($W:$W,ROW()),IF(OR(TRIM(_xlpm.a)&lt;&gt;TRIM(Enginuity!$A$1),TRIM(_xlpm.c)&lt;&gt;TRIM(Enginuity!$A$18),_xlpm.v="",_xlpm.v=0,_xlpm.w=""),"",ROW()))</f>
        <v>95</v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1863</v>
      </c>
      <c r="S95" s="24" t="s">
        <v>1964</v>
      </c>
      <c r="T95" s="370" t="str" cm="1">
        <f t="array" ref="T95">_xlfn.LET(_xlpm.cd,INDEX($S:$S,ROW()),IF(_xlpm.cd="","",IFERROR(_xlfn.XLOOKUP(_xlpm.cd,CostData!$C$22:$C$1000,CostData!$E$22:$E$1000,""),"")))</f>
        <v>Mullion 13773</v>
      </c>
      <c r="U95" s="1" t="s">
        <v>103</v>
      </c>
      <c r="V95" s="1">
        <f>_xlfn.LET(
_xlpm.nm,TRIM($R95),
_xlpm.w,Enginuity!$B$6,
_xlpm.h,Enginuity!$B$7,
_xlpm.spanMM,Enginuity!$B$15,
_xlpm.spanFT,IF(_xlpm.spanMM&gt;0,_xlpm.spanMM/304.8,0),
_xlpm.hLimFT,3601/304.8,
_xlpm.vCount,IF(_xlpm.spanFT&gt;0,MAX(ROUNDUP(_xlpm.w/_xlpm.spanFT,0)-1,0),0),
_xlpm.hCount,MAX(ROUNDUP(_xlpm.h/_xlpm.hLimFT,0)-1,0),
_xlpm.vQty,_xlpm.vCount*_xlpm.h,
_xlpm.hQty,_xlpm.hCount*_xlpm.w,
IF(_xlpm.nm="Vertical Mullion ↕",IF(_xlpm.vQty=0,"",_xlpm.vQty),
IF(_xlpm.nm="Horizontal Mullion ↔",IF(_xlpm.hQty=0,"",_xlpm.hQty),
""))
)</f>
        <v>20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9.67</v>
      </c>
    </row>
    <row r="96" spans="1:23" x14ac:dyDescent="0.25">
      <c r="A96" s="275" t="s">
        <v>254</v>
      </c>
      <c r="C96" s="370" t="s">
        <v>1974</v>
      </c>
      <c r="E96" s="370" t="str">
        <v>12mm Euro Grey Tempered Glass Panel</v>
      </c>
      <c r="F96" s="370" t="s">
        <v>1987</v>
      </c>
      <c r="H96" s="370" t="s">
        <v>1871</v>
      </c>
      <c r="M96" s="411">
        <v>0.05</v>
      </c>
      <c r="N96" s="370">
        <v>5</v>
      </c>
      <c r="O96" s="370" t="s">
        <v>1989</v>
      </c>
      <c r="P96" s="370" t="str" cm="1">
        <f t="array" ref="P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S96" s="24" t="s">
        <v>1965</v>
      </c>
      <c r="T96" s="370" t="str" cm="1">
        <f t="array" ref="T96">_xlfn.LET(_xlpm.cd,INDEX($S:$S,ROW()),IF(_xlpm.cd="","",IFERROR(_xlfn.XLOOKUP(_xlpm.cd,CostData!$C$22:$C$1000,CostData!$E$22:$E$1000,""),"")))</f>
        <v>Inner 70760</v>
      </c>
      <c r="U96" s="1" t="s">
        <v>103</v>
      </c>
      <c r="V96" s="1" t="str" cm="1">
        <f t="array" ref="V96">IFERROR(_xlfn.XLOOKUP(1,(TRIM(CostData!$B$22:$B$1000)="Aluminium")*(TRIM(CostData!$C$22:$C$1000)="CWS")*(TRIM(CostData!$E$22:$E$1000)=TRIM($S96)),_xlfn.SWITCH(TRIM(Enginuity!$A$19),"N/A",CostData!$H$22:$H$1000,"M/B",CostData!$I$22:$I$1000,"P/C",CostData!$J$22:$J$1000,"W/G",CostData!$K$22:$K$1000,""),""),"")</f>
        <v/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3.85</v>
      </c>
    </row>
    <row r="97" spans="1:23" x14ac:dyDescent="0.25">
      <c r="A97" s="275" t="s">
        <v>254</v>
      </c>
      <c r="C97" s="370" t="s">
        <v>1974</v>
      </c>
      <c r="E97" s="370" t="str">
        <v>12mm Frosted Float Glass</v>
      </c>
      <c r="H97" s="370" t="s">
        <v>1872</v>
      </c>
      <c r="M97" s="411">
        <v>0.06</v>
      </c>
      <c r="N97" s="370">
        <v>6</v>
      </c>
      <c r="O97" s="370" t="s">
        <v>1990</v>
      </c>
      <c r="P97" s="370" t="str" cm="1">
        <f t="array" ref="P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S97" s="24" t="s">
        <v>1966</v>
      </c>
      <c r="T97" s="370" t="str" cm="1">
        <f t="array" ref="T97">_xlfn.LET(_xlpm.cd,INDEX($S:$S,ROW()),IF(_xlpm.cd="","",IFERROR(_xlfn.XLOOKUP(_xlpm.cd,CostData!$C$22:$C$1000,CostData!$E$22:$E$1000,""),"")))</f>
        <v>Inner 70761</v>
      </c>
      <c r="U97" s="1" t="s">
        <v>103</v>
      </c>
      <c r="V97" s="1" t="str" cm="1">
        <f t="array" ref="V97">IFERROR(_xlfn.XLOOKUP(1,(TRIM(CostData!$B$22:$B$1000)="Aluminium")*(TRIM(CostData!$C$22:$C$1000)="CWS")*(TRIM(CostData!$E$22:$E$1000)=TRIM($S97)),_xlfn.SWITCH(TRIM(Enginuity!$A$19),"N/A",CostData!$H$22:$H$1000,"M/B",CostData!$I$22:$I$1000,"P/C",CostData!$J$22:$J$1000,"W/G",CostData!$K$22:$K$1000,""),""),"")</f>
        <v/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3.09</v>
      </c>
    </row>
    <row r="98" spans="1:23" x14ac:dyDescent="0.25">
      <c r="A98" s="275" t="s">
        <v>254</v>
      </c>
      <c r="C98" s="370" t="s">
        <v>1974</v>
      </c>
      <c r="E98" s="370" t="str">
        <v>12mm Green Tempered Glass Panel</v>
      </c>
      <c r="H98" s="370" t="s">
        <v>1873</v>
      </c>
      <c r="M98" s="411">
        <v>7.0000000000000007E-2</v>
      </c>
      <c r="N98" s="370">
        <v>7</v>
      </c>
      <c r="O98" s="370" t="s">
        <v>1991</v>
      </c>
      <c r="P98" s="370" t="str" cm="1">
        <f t="array" ref="P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S98" s="24" t="s">
        <v>1958</v>
      </c>
      <c r="T98" s="370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5.4</v>
      </c>
    </row>
    <row r="99" spans="1:23" x14ac:dyDescent="0.25">
      <c r="A99" s="275" t="s">
        <v>254</v>
      </c>
      <c r="C99" s="370" t="s">
        <v>1974</v>
      </c>
      <c r="E99" s="370" t="str">
        <v>12mm Grey Tempered Glass Panel</v>
      </c>
      <c r="H99" s="370" t="s">
        <v>1874</v>
      </c>
      <c r="P99" s="370" t="str" cm="1">
        <f t="array" ref="P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S99" s="24" t="s">
        <v>1958</v>
      </c>
      <c r="T99" s="370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 cm="1">
        <f t="array" ref="V99">IFERROR(_xlfn.XLOOKUP(1,(TRIM(CostData!$B$22:$B$1000)="Aluminium")*(TRIM(CostData!$C$22:$C$1000)="CWS")*(TRIM(CostData!$E$22:$E$1000)=TRIM($S99)),_xlfn.SWITCH(TRIM(Enginuity!$A$19),"N/A",CostData!$H$22:$H$1000,"M/B",CostData!$I$22:$I$1000,"P/C",CostData!$J$22:$J$1000,"W/G",CostData!$K$22:$K$1000,""),""),"")</f>
        <v/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5.4</v>
      </c>
    </row>
    <row r="100" spans="1:23" x14ac:dyDescent="0.25">
      <c r="A100" s="275" t="s">
        <v>254</v>
      </c>
      <c r="C100" s="370" t="s">
        <v>1974</v>
      </c>
      <c r="E100" s="370" t="str">
        <v>12mm Partition Board Gypsum 4ft x 8ft ★</v>
      </c>
      <c r="P100" s="370" t="str" cm="1">
        <f t="array" ref="P1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S100" s="24" t="s">
        <v>1958</v>
      </c>
      <c r="T100" s="370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 t="str" cm="1">
        <f t="array" ref="V100">IFERROR(_xlfn.XLOOKUP(1,(TRIM(CostData!$B$22:$B$1000)="Aluminium")*(TRIM(CostData!$C$22:$C$1000)="CWS")*(TRIM(CostData!$E$22:$E$1000)=TRIM($S100)),_xlfn.SWITCH(TRIM(Enginuity!$A$19),"N/A",CostData!$H$22:$H$1000,"M/B",CostData!$I$22:$I$1000,"P/C",CostData!$J$22:$J$1000,"W/G",CostData!$K$22:$K$1000,""),""),"")</f>
        <v/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5.4</v>
      </c>
    </row>
    <row r="101" spans="1:23" x14ac:dyDescent="0.25">
      <c r="A101" s="275" t="s">
        <v>254</v>
      </c>
      <c r="C101" s="370" t="s">
        <v>1974</v>
      </c>
      <c r="P101" s="370" t="str" cm="1">
        <f t="array" ref="P1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S101" s="24" t="s">
        <v>1945</v>
      </c>
      <c r="T101" s="370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 cm="1">
        <f t="array" ref="V101">IFERROR(_xlfn.XLOOKUP(1,(TRIM(CostData!$B$22:$B$1000)="Aluminium")*(TRIM(CostData!$C$22:$C$1000)="CWS")*(TRIM(CostData!$E$22:$E$1000)=TRIM($S101)),_xlfn.SWITCH(TRIM(Enginuity!$A$19),"N/A",CostData!$H$22:$H$1000,"M/B",CostData!$I$22:$I$1000,"P/C",CostData!$J$22:$J$1000,"W/G",CostData!$K$22:$K$1000,""),""),"")</f>
        <v/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6.8</v>
      </c>
    </row>
    <row r="102" spans="1:23" x14ac:dyDescent="0.25">
      <c r="A102" s="275" t="s">
        <v>254</v>
      </c>
      <c r="C102" s="370" t="s">
        <v>1974</v>
      </c>
      <c r="P102" s="370" t="str" cm="1">
        <f t="array" ref="P1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S102" s="24" t="s">
        <v>1945</v>
      </c>
      <c r="T102" s="370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 cm="1">
        <f t="array" ref="V102">IFERROR(_xlfn.XLOOKUP(1,(TRIM(CostData!$B$22:$B$1000)="Aluminium")*(TRIM(CostData!$C$22:$C$1000)="CWS")*(TRIM(CostData!$E$22:$E$1000)=TRIM($S102)),_xlfn.SWITCH(TRIM(Enginuity!$A$19),"N/A",CostData!$H$22:$H$1000,"M/B",CostData!$I$22:$I$1000,"P/C",CostData!$J$22:$J$1000,"W/G",CostData!$K$22:$K$1000,""),""),"")</f>
        <v/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6.8</v>
      </c>
    </row>
    <row r="103" spans="1:23" x14ac:dyDescent="0.25">
      <c r="A103" s="275" t="s">
        <v>254</v>
      </c>
      <c r="C103" s="370" t="s">
        <v>1974</v>
      </c>
      <c r="P103" s="370" t="str" cm="1">
        <f t="array" ref="P1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S103" s="24" t="s">
        <v>1945</v>
      </c>
      <c r="T103" s="370" t="str" cm="1">
        <f t="array" ref="T103">_xlfn.LET(_xlpm.cd,INDEX($S:$S,ROW()),IF(_xlpm.cd="","",IFERROR(_xlfn.XLOOKUP(_xlpm.cd,CostData!$C$22:$C$1000,CostData!$E$22:$E$1000,""),"")))</f>
        <v>Outer / Innner</v>
      </c>
      <c r="U103" s="1" t="s">
        <v>103</v>
      </c>
      <c r="V103" s="1" t="str" cm="1">
        <f t="array" ref="V103">IFERROR(_xlfn.XLOOKUP(1,(TRIM(CostData!$B$22:$B$1000)="Aluminium")*(TRIM(CostData!$C$22:$C$1000)="CWS")*(TRIM(CostData!$E$22:$E$1000)=TRIM($S103)),_xlfn.SWITCH(TRIM(Enginuity!$A$19),"N/A",CostData!$H$22:$H$1000,"M/B",CostData!$I$22:$I$1000,"P/C",CostData!$J$22:$J$1000,"W/G",CostData!$K$22:$K$1000,""),""),"")</f>
        <v/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6.8</v>
      </c>
    </row>
    <row r="104" spans="1:23" x14ac:dyDescent="0.25">
      <c r="A104" s="275" t="s">
        <v>254</v>
      </c>
      <c r="C104" s="370" t="s">
        <v>1974</v>
      </c>
      <c r="P104" s="370" t="str" cm="1">
        <f t="array" ref="P1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S104" s="24" t="s">
        <v>1953</v>
      </c>
      <c r="T104" s="370" t="str" cm="1">
        <f t="array" ref="T104">_xlfn.LET(_xlpm.cd,INDEX($S:$S,ROW()),IF(_xlpm.cd="","",IFERROR(_xlfn.XLOOKUP(_xlpm.cd,CostData!$C$22:$C$1000,CostData!$E$22:$E$1000,""),"")))</f>
        <v>Outer / Innner</v>
      </c>
      <c r="U104" s="1" t="s">
        <v>103</v>
      </c>
      <c r="V104" s="1" t="str" cm="1">
        <f t="array" ref="V104">IFERROR(_xlfn.XLOOKUP(1,(TRIM(CostData!$B$22:$B$1000)="Aluminium")*(TRIM(CostData!$C$22:$C$1000)="CWS")*(TRIM(CostData!$E$22:$E$1000)=TRIM($S104)),_xlfn.SWITCH(TRIM(Enginuity!$A$19),"N/A",CostData!$H$22:$H$1000,"M/B",CostData!$I$22:$I$1000,"P/C",CostData!$J$22:$J$1000,"W/G",CostData!$K$22:$K$1000,""),""),"")</f>
        <v/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8.5</v>
      </c>
    </row>
    <row r="105" spans="1:23" x14ac:dyDescent="0.25">
      <c r="A105" s="275" t="s">
        <v>254</v>
      </c>
      <c r="C105" s="370" t="s">
        <v>1974</v>
      </c>
      <c r="P105" s="370" t="str" cm="1">
        <f t="array" ref="P1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S105" s="24" t="s">
        <v>1953</v>
      </c>
      <c r="T105" s="370" t="str" cm="1">
        <f t="array" ref="T105">_xlfn.LET(_xlpm.cd,INDEX($S:$S,ROW()),IF(_xlpm.cd="","",IFERROR(_xlfn.XLOOKUP(_xlpm.cd,CostData!$C$22:$C$1000,CostData!$E$22:$E$1000,""),"")))</f>
        <v>Outer / Innner</v>
      </c>
      <c r="U105" s="1" t="s">
        <v>103</v>
      </c>
      <c r="V105" s="1" t="str" cm="1">
        <f t="array" ref="V105">IFERROR(_xlfn.XLOOKUP(1,(TRIM(CostData!$B$22:$B$1000)="Aluminium")*(TRIM(CostData!$C$22:$C$1000)="CWS")*(TRIM(CostData!$E$22:$E$1000)=TRIM($S105)),_xlfn.SWITCH(TRIM(Enginuity!$A$19),"N/A",CostData!$H$22:$H$1000,"M/B",CostData!$I$22:$I$1000,"P/C",CostData!$J$22:$J$1000,"W/G",CostData!$K$22:$K$1000,""),""),"")</f>
        <v/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8.5</v>
      </c>
    </row>
    <row r="106" spans="1:23" x14ac:dyDescent="0.25">
      <c r="A106" s="275" t="s">
        <v>254</v>
      </c>
      <c r="C106" s="370" t="s">
        <v>1974</v>
      </c>
      <c r="P106" s="370" t="str" cm="1">
        <f t="array" ref="P1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S106" s="24" t="s">
        <v>1953</v>
      </c>
      <c r="T106" s="370" t="str" cm="1">
        <f t="array" ref="T106">_xlfn.LET(_xlpm.cd,INDEX($S:$S,ROW()),IF(_xlpm.cd="","",IFERROR(_xlfn.XLOOKUP(_xlpm.cd,CostData!$C$22:$C$1000,CostData!$E$22:$E$1000,""),"")))</f>
        <v>Outer / Innner</v>
      </c>
      <c r="U106" s="1" t="s">
        <v>103</v>
      </c>
      <c r="V106" s="1" t="str" cm="1">
        <f t="array" ref="V106">IFERROR(_xlfn.XLOOKUP(1,(TRIM(CostData!$B$22:$B$1000)="Aluminium")*(TRIM(CostData!$C$22:$C$1000)="CWS")*(TRIM(CostData!$E$22:$E$1000)=TRIM($S106)),_xlfn.SWITCH(TRIM(Enginuity!$A$19),"N/A",CostData!$H$22:$H$1000,"M/B",CostData!$I$22:$I$1000,"P/C",CostData!$J$22:$J$1000,"W/G",CostData!$K$22:$K$1000,""),""),"")</f>
        <v/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8.5</v>
      </c>
    </row>
    <row r="107" spans="1:23" x14ac:dyDescent="0.25">
      <c r="A107" s="275" t="s">
        <v>254</v>
      </c>
      <c r="C107" s="370" t="s">
        <v>1974</v>
      </c>
      <c r="P107" s="370" t="str" cm="1">
        <f t="array" ref="P1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1813</v>
      </c>
      <c r="S107" s="419" t="s">
        <v>1985</v>
      </c>
      <c r="T107" s="370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2.52</v>
      </c>
    </row>
    <row r="108" spans="1:23" x14ac:dyDescent="0.25">
      <c r="A108" s="275" t="s">
        <v>254</v>
      </c>
      <c r="C108" s="370" t="s">
        <v>1974</v>
      </c>
      <c r="P108" s="370" t="str" cm="1">
        <f t="array" ref="P1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1851</v>
      </c>
      <c r="S108" s="419" t="s">
        <v>1985</v>
      </c>
      <c r="T108" s="370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2.52</v>
      </c>
    </row>
    <row r="109" spans="1:23" x14ac:dyDescent="0.25">
      <c r="A109" s="275" t="s">
        <v>254</v>
      </c>
      <c r="C109" s="370" t="s">
        <v>1974</v>
      </c>
      <c r="P109" s="370" t="str" cm="1">
        <f t="array" ref="P1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09" s="1" t="str" cm="1">
        <f t="array" ref="Q109">_xlfn.LET(_xlpm.cd,INDEX($S:$S,ROW()),IF(_xlpm.cd="","",IFERROR(_xlfn.XLOOKUP(_xlpm.cd,CostData!$C$22:$C$1000,CostData!$B$22:$B$1000,""),"")))</f>
        <v>Aluminium</v>
      </c>
      <c r="R109" s="1" t="s">
        <v>1813</v>
      </c>
      <c r="S109" s="419" t="s">
        <v>1984</v>
      </c>
      <c r="T109" s="370" t="str" cm="1">
        <f t="array" ref="T109">_xlfn.LET(_xlpm.cd,INDEX($S:$S,ROW()),IF(_xlpm.cd="","",IFERROR(_xlfn.XLOOKUP(_xlpm.cd,CostData!$C$22:$C$1000,CostData!$E$22:$E$1000,""),"")))</f>
        <v>Outer / Mullion</v>
      </c>
      <c r="U109" s="1" t="s">
        <v>103</v>
      </c>
      <c r="W109" s="400" cm="1">
        <f t="array" ref="W1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3.38</v>
      </c>
    </row>
    <row r="110" spans="1:23" x14ac:dyDescent="0.25">
      <c r="A110" s="275" t="s">
        <v>254</v>
      </c>
      <c r="C110" s="370" t="s">
        <v>1974</v>
      </c>
      <c r="P110" s="370" t="str" cm="1">
        <f t="array" ref="P1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10" s="1" t="str" cm="1">
        <f t="array" ref="Q110">_xlfn.LET(_xlpm.cd,INDEX($S:$S,ROW()),IF(_xlpm.cd="","",IFERROR(_xlfn.XLOOKUP(_xlpm.cd,CostData!$C$22:$C$1000,CostData!$B$22:$B$1000,""),"")))</f>
        <v>Aluminium</v>
      </c>
      <c r="R110" s="1" t="s">
        <v>1851</v>
      </c>
      <c r="S110" s="419" t="s">
        <v>1984</v>
      </c>
      <c r="T110" s="370" t="str" cm="1">
        <f t="array" ref="T110">_xlfn.LET(_xlpm.cd,INDEX($S:$S,ROW()),IF(_xlpm.cd="","",IFERROR(_xlfn.XLOOKUP(_xlpm.cd,CostData!$C$22:$C$1000,CostData!$E$22:$E$1000,""),"")))</f>
        <v>Outer / Mullion</v>
      </c>
      <c r="U110" s="1" t="s">
        <v>103</v>
      </c>
      <c r="W110" s="400" cm="1">
        <f t="array" ref="W1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3.38</v>
      </c>
    </row>
    <row r="111" spans="1:23" x14ac:dyDescent="0.25">
      <c r="A111" s="275" t="s">
        <v>254</v>
      </c>
      <c r="C111" s="370" t="s">
        <v>1974</v>
      </c>
      <c r="P111" s="370" t="str" cm="1">
        <f t="array" ref="P1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1974</v>
      </c>
      <c r="P112" s="370" cm="1">
        <f t="array" ref="P112">_xlfn.LET(_xlpm.a,INDEX($A:$A,ROW()),_xlpm.c,INDEX($C:$C,ROW()),_xlpm.v,INDEX($V:$V,ROW()),_xlpm.w,INDEX($W:$W,ROW()),IF(OR(TRIM(_xlpm.a)&lt;&gt;TRIM(Enginuity!$A$1),TRIM(_xlpm.c)&lt;&gt;TRIM(Enginuity!$A$18),_xlpm.v="",_xlpm.v=0,_xlpm.w=""),"",ROW()))</f>
        <v>112</v>
      </c>
      <c r="Q112" s="1" t="s">
        <v>1834</v>
      </c>
      <c r="R112" s="1" t="str">
        <f>IF($T112="","","⬒ "&amp;$T112)</f>
        <v>⬒ Default</v>
      </c>
      <c r="T112" s="370" t="str">
        <f>IF(Enginuity!$A$20="","",Enginuity!$A$20)</f>
        <v>Default</v>
      </c>
      <c r="U112" s="1" t="s">
        <v>121</v>
      </c>
      <c r="V112" s="1">
        <f>IF(Enginuity!$B$9="","",Enginuity!$B$9)</f>
        <v>300</v>
      </c>
      <c r="W112" s="400">
        <f>IFERROR(INDEX(CostData!$Q$3:$Q$12,MATCH(TRIM(Enginuity!$A$20),CostData!$P$3:$P$12,0)),"")</f>
        <v>3.9</v>
      </c>
    </row>
    <row r="113" spans="1:23" x14ac:dyDescent="0.25">
      <c r="A113" s="275" t="s">
        <v>254</v>
      </c>
      <c r="C113" s="370" t="s">
        <v>1974</v>
      </c>
      <c r="P113" s="370" t="str" cm="1">
        <f t="array" ref="P1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13" s="370"/>
      <c r="S113" s="419"/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1974</v>
      </c>
      <c r="P114" s="370" t="str" cm="1">
        <f t="array" ref="P1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14" s="370"/>
      <c r="S114" s="419"/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1974</v>
      </c>
      <c r="P115" s="370" t="str" cm="1">
        <f t="array" ref="P1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15" s="370"/>
      <c r="S115" s="419"/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1974</v>
      </c>
      <c r="P116" s="370" t="str" cm="1">
        <f t="array" ref="P1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16" s="370"/>
      <c r="S116" s="419"/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1974</v>
      </c>
      <c r="P117" s="370" cm="1">
        <f t="array" ref="P117">_xlfn.LET(_xlpm.a,INDEX($A:$A,ROW()),_xlpm.c,INDEX($C:$C,ROW()),_xlpm.v,INDEX($V:$V,ROW()),_xlpm.w,INDEX($W:$W,ROW()),IF(OR(TRIM(_xlpm.a)&lt;&gt;TRIM(Enginuity!$A$1),TRIM(_xlpm.c)&lt;&gt;TRIM(Enginuity!$A$18),_xlpm.v="",_xlpm.v=0,_xlpm.w=""),"",ROW()))</f>
        <v>117</v>
      </c>
      <c r="Q117" s="370" t="str">
        <f>IF($S117="","",IFERROR(_xlfn.XLOOKUP($S117,CostData!$U$22:$U$1000,CostData!$T$22:$T$1000,""),""))</f>
        <v>Black Tape</v>
      </c>
      <c r="R117" s="1" t="str">
        <f>IF($S117="","",$T117)</f>
        <v>2.5" x 2 Black Tape</v>
      </c>
      <c r="S117" s="24" t="s">
        <v>1899</v>
      </c>
      <c r="T117" s="370" t="str" cm="1">
        <f t="array" ref="T117">_xlfn.LET(_xlpm.cd,INDEX($S:$S,ROW()),IF(_xlpm.cd="","",IFERROR(_xlfn.XLOOKUP(_xlpm.cd,CostData!$U$22:$U$1000,CostData!$W$22:$W$1000,""),"")))</f>
        <v>2.5" x 2 Black Tape</v>
      </c>
      <c r="U117" s="1" t="str">
        <f>IF($S117="","",IFERROR(_xlfn.XLOOKUP($S117,CostData!$U$22:$U$1000,CostData!$AA$22:$AA$1000,""),""))</f>
        <v>Ft</v>
      </c>
      <c r="V117" s="1">
        <f>IF(SUM($V$61:$V$64)=0,"",SUM($V$61:$V$64))</f>
        <v>68905</v>
      </c>
      <c r="W117" s="400" cm="1">
        <f t="array" ref="W1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8" spans="1:23" x14ac:dyDescent="0.25">
      <c r="A118" s="275" t="s">
        <v>254</v>
      </c>
      <c r="C118" s="370" t="s">
        <v>1974</v>
      </c>
      <c r="P118" s="370" cm="1">
        <f t="array" ref="P118">_xlfn.LET(_xlpm.a,INDEX($A:$A,ROW()),_xlpm.c,INDEX($C:$C,ROW()),_xlpm.v,INDEX($V:$V,ROW()),_xlpm.w,INDEX($W:$W,ROW()),IF(OR(TRIM(_xlpm.a)&lt;&gt;TRIM(Enginuity!$A$1),TRIM(_xlpm.c)&lt;&gt;TRIM(Enginuity!$A$18),_xlpm.v="",_xlpm.v=0,_xlpm.w=""),"",ROW()))</f>
        <v>118</v>
      </c>
      <c r="Q118" s="370" t="str">
        <f>IF($S118="","",IFERROR(_xlfn.XLOOKUP($S118,CostData!$U$22:$U$1000,CostData!$T$22:$T$1000,""),""))</f>
        <v>Gasket</v>
      </c>
      <c r="R118" s="1" t="s">
        <v>1934</v>
      </c>
      <c r="S118" s="24" t="s">
        <v>1918</v>
      </c>
      <c r="T118" s="370" t="str" cm="1">
        <f t="array" ref="T118">_xlfn.LET(_xlpm.cd,INDEX($S:$S,ROW()),IF(_xlpm.cd="","",IFERROR(_xlfn.XLOOKUP(_xlpm.cd,CostData!$U$22:$U$1000,CostData!$W$22:$W$1000,""),"")))</f>
        <v>F16S Gasket</v>
      </c>
      <c r="U118" s="1" t="str">
        <f>IF($S118="","",IFERROR(_xlfn.XLOOKUP($S118,CostData!$U$22:$U$1000,CostData!$AA$22:$AA$1000,""),""))</f>
        <v>Ft</v>
      </c>
      <c r="V118" s="1">
        <f>IF($V$62="","",$V$62)</f>
        <v>45760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</v>
      </c>
    </row>
    <row r="119" spans="1:23" x14ac:dyDescent="0.25">
      <c r="A119" s="275" t="s">
        <v>254</v>
      </c>
      <c r="C119" s="370" t="s">
        <v>1974</v>
      </c>
      <c r="P119" s="370" cm="1">
        <f t="array" ref="P119">_xlfn.LET(_xlpm.a,INDEX($A:$A,ROW()),_xlpm.c,INDEX($C:$C,ROW()),_xlpm.v,INDEX($V:$V,ROW()),_xlpm.w,INDEX($W:$W,ROW()),IF(OR(TRIM(_xlpm.a)&lt;&gt;TRIM(Enginuity!$A$1),TRIM(_xlpm.c)&lt;&gt;TRIM(Enginuity!$A$18),_xlpm.v="",_xlpm.v=0,_xlpm.w=""),"",ROW()))</f>
        <v>119</v>
      </c>
      <c r="Q119" s="370" t="str">
        <f>IF($S119="","",IFERROR(_xlfn.XLOOKUP($S119,CostData!$U$22:$U$1000,CostData!$T$22:$T$1000,""),""))</f>
        <v>Gasket</v>
      </c>
      <c r="R119" s="1" t="s">
        <v>1932</v>
      </c>
      <c r="S119" s="24">
        <v>6154</v>
      </c>
      <c r="T119" s="370" t="str" cm="1">
        <f t="array" ref="T119">_xlfn.LET(_xlpm.cd,INDEX($S:$S,ROW()),IF(_xlpm.cd="","",IFERROR(_xlfn.XLOOKUP(_xlpm.cd,CostData!$U$22:$U$1000,CostData!$W$22:$W$1000,""),"")))</f>
        <v>6154 Gasket</v>
      </c>
      <c r="U119" s="1" t="str">
        <f>IF($S119="","",IFERROR(_xlfn.XLOOKUP($S119,CostData!$U$22:$U$1000,CostData!$AA$22:$AA$1000,""),""))</f>
        <v>Ft</v>
      </c>
      <c r="V119" s="1">
        <f>IF($V$62="","",$V$62)</f>
        <v>45760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0" spans="1:23" x14ac:dyDescent="0.25">
      <c r="A120" s="412" t="s">
        <v>254</v>
      </c>
      <c r="B120" s="399"/>
      <c r="C120" s="370" t="s">
        <v>1974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399" cm="1">
        <f t="array" ref="P120">_xlfn.LET(_xlpm.a,INDEX($A:$A,ROW()),_xlpm.c,INDEX($C:$C,ROW()),_xlpm.v,INDEX($V:$V,ROW()),_xlpm.w,INDEX($W:$W,ROW()),IF(OR(TRIM(_xlpm.a)&lt;&gt;TRIM(Enginuity!$A$1),TRIM(_xlpm.c)&lt;&gt;TRIM(Enginuity!$A$18),_xlpm.v="",_xlpm.v=0,_xlpm.w=""),"",ROW()))</f>
        <v>120</v>
      </c>
      <c r="Q120" s="399" t="str">
        <f>IF($S120="","",IFERROR(_xlfn.XLOOKUP($S120,CostData!$U$22:$U$1000,CostData!$T$22:$T$1000,""),""))</f>
        <v>Gasket</v>
      </c>
      <c r="R120" s="401" t="s">
        <v>1935</v>
      </c>
      <c r="S120" s="418">
        <v>6154</v>
      </c>
      <c r="T120" s="399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>
        <f>IF(SUM($V$63:$V$64)=0,"",SUM($V$63:$V$64)*2)</f>
        <v>45690</v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24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5"/>
      <c r="N121" s="415"/>
      <c r="O121" s="415"/>
      <c r="P121" s="415"/>
      <c r="Q121" s="409"/>
      <c r="R121" s="409"/>
      <c r="S121" s="417"/>
      <c r="T121" s="415"/>
      <c r="U121" s="409"/>
      <c r="V121" s="409"/>
      <c r="W121" s="426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Q143" s="370"/>
      <c r="S143" s="419"/>
      <c r="W143" s="400"/>
    </row>
    <row r="144" spans="1:23" x14ac:dyDescent="0.25">
      <c r="A144" s="275"/>
      <c r="Q144" s="370"/>
      <c r="S144" s="419"/>
      <c r="W144" s="400"/>
    </row>
    <row r="145" spans="1:23" x14ac:dyDescent="0.25">
      <c r="A145" s="275"/>
      <c r="Q145" s="370"/>
      <c r="S145" s="419"/>
      <c r="W145" s="400"/>
    </row>
    <row r="146" spans="1:23" x14ac:dyDescent="0.25">
      <c r="A146" s="275"/>
      <c r="Q146" s="370"/>
      <c r="S146" s="419"/>
      <c r="W146" s="400"/>
    </row>
    <row r="147" spans="1:23" x14ac:dyDescent="0.25">
      <c r="A147" s="275"/>
      <c r="Q147" s="370"/>
      <c r="W147" s="400"/>
    </row>
    <row r="148" spans="1:23" x14ac:dyDescent="0.25">
      <c r="A148" s="275"/>
      <c r="Q148" s="370"/>
      <c r="W148" s="400"/>
    </row>
    <row r="149" spans="1:23" x14ac:dyDescent="0.25">
      <c r="A149" s="275"/>
      <c r="Q149" s="370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399"/>
      <c r="Q150" s="399"/>
      <c r="R150" s="401"/>
      <c r="S150" s="418"/>
      <c r="T150" s="399"/>
      <c r="U150" s="401"/>
      <c r="V150" s="401"/>
      <c r="W150" s="413"/>
    </row>
    <row r="151" spans="1:23" x14ac:dyDescent="0.25">
      <c r="A151" s="424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5"/>
      <c r="N151" s="415"/>
      <c r="O151" s="415"/>
      <c r="P151" s="415"/>
      <c r="Q151" s="409"/>
      <c r="R151" s="409"/>
      <c r="S151" s="417"/>
      <c r="T151" s="415"/>
      <c r="U151" s="409"/>
      <c r="V151" s="409"/>
      <c r="W151" s="426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Q173" s="370"/>
      <c r="S173" s="419"/>
      <c r="W173" s="400"/>
    </row>
    <row r="174" spans="1:23" x14ac:dyDescent="0.25">
      <c r="A174" s="275"/>
      <c r="Q174" s="370"/>
      <c r="S174" s="419"/>
      <c r="W174" s="400"/>
    </row>
    <row r="175" spans="1:23" x14ac:dyDescent="0.25">
      <c r="A175" s="275"/>
      <c r="Q175" s="370"/>
      <c r="S175" s="419"/>
      <c r="W175" s="400"/>
    </row>
    <row r="176" spans="1:23" x14ac:dyDescent="0.25">
      <c r="A176" s="275"/>
      <c r="Q176" s="370"/>
      <c r="S176" s="419"/>
      <c r="W176" s="400"/>
    </row>
    <row r="177" spans="1:23" x14ac:dyDescent="0.25">
      <c r="A177" s="275"/>
      <c r="Q177" s="370"/>
      <c r="W177" s="400"/>
    </row>
    <row r="178" spans="1:23" x14ac:dyDescent="0.25">
      <c r="A178" s="275"/>
      <c r="Q178" s="370"/>
      <c r="W178" s="400"/>
    </row>
    <row r="179" spans="1:23" x14ac:dyDescent="0.25">
      <c r="A179" s="275"/>
      <c r="Q179" s="370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399"/>
      <c r="Q180" s="399"/>
      <c r="R180" s="401"/>
      <c r="S180" s="418"/>
      <c r="T180" s="399"/>
      <c r="U180" s="401"/>
      <c r="V180" s="401"/>
      <c r="W180" s="413"/>
    </row>
    <row r="181" spans="1:23" x14ac:dyDescent="0.25">
      <c r="A181" s="424" t="s">
        <v>254</v>
      </c>
      <c r="B181" s="415" t="s">
        <v>1847</v>
      </c>
      <c r="C181" s="415" t="s">
        <v>1938</v>
      </c>
      <c r="D181" s="415" t="s">
        <v>1793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5">
        <v>0.54649999999999999</v>
      </c>
      <c r="N181" s="415">
        <v>609.6</v>
      </c>
      <c r="O181" s="415"/>
      <c r="P181" s="415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09" t="s">
        <v>1813</v>
      </c>
      <c r="S181" s="417" t="s">
        <v>1928</v>
      </c>
      <c r="T181" s="415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181" s="426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1849</v>
      </c>
      <c r="C182" s="415" t="s">
        <v>1938</v>
      </c>
      <c r="D182" s="370" t="s">
        <v>1815</v>
      </c>
      <c r="E182" s="370" t="str">
        <v>12mm Bronze Tempered Glass Panel</v>
      </c>
      <c r="G182" s="370" t="s">
        <v>1941</v>
      </c>
      <c r="P182" s="370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">
        <v>1850</v>
      </c>
      <c r="S182" s="24" t="s">
        <v>1929</v>
      </c>
      <c r="T182" s="370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45760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1938</v>
      </c>
      <c r="D183" s="370" t="s">
        <v>1794</v>
      </c>
      <c r="E183" s="370" t="str">
        <v>12mm Clear Float Glass</v>
      </c>
      <c r="P183" s="370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">
        <v>1864</v>
      </c>
      <c r="S183" s="24" t="s">
        <v>1930</v>
      </c>
      <c r="T183" s="370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22845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1848</v>
      </c>
      <c r="C184" s="415" t="s">
        <v>1938</v>
      </c>
      <c r="D184" s="370" t="s">
        <v>1816</v>
      </c>
      <c r="E184" s="370" t="str">
        <v>12mm Clear Tempered Glass Panel</v>
      </c>
      <c r="P184" s="370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">
        <v>1863</v>
      </c>
      <c r="S184" s="24" t="s">
        <v>1930</v>
      </c>
      <c r="T184" s="370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1938</v>
      </c>
      <c r="E185" s="370" t="str">
        <v>12mm Crystal Tempered Glass Panel</v>
      </c>
      <c r="P185" s="370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1938</v>
      </c>
      <c r="E186" s="370" t="str">
        <v>12mm Euro Grey Tempered Glass Panel</v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1938</v>
      </c>
      <c r="E187" s="370" t="str">
        <v>12mm Frosted Float Glass</v>
      </c>
      <c r="P187" s="370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">
        <v>114</v>
      </c>
      <c r="S187" s="24" t="s">
        <v>1931</v>
      </c>
      <c r="T187" s="398" t="e">
        <f>Enginuity!#REF!</f>
        <v>#REF!</v>
      </c>
      <c r="U187" s="1" t="s">
        <v>1940</v>
      </c>
      <c r="V187" s="1">
        <f>IF(TRIM(Enginuity!$A$22)="","",IF(AND(Enginuity!$B$6&gt;0,Enginuity!$B$7&gt;0,Enginuity!$B$13&gt;0),(2*Enginuity!$B$7*Enginuity!$B$13)+(2*Enginuity!$B$6),""))</f>
        <v>45760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1938</v>
      </c>
      <c r="E188" s="370" t="str">
        <v>12mm Green Tempered Glass Panel</v>
      </c>
      <c r="P188" s="370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370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1938</v>
      </c>
      <c r="E189" s="370" t="str">
        <v>12mm Grey Tempered Glass Panel</v>
      </c>
      <c r="P189" s="370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370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1938</v>
      </c>
      <c r="E190" s="370" t="str">
        <v>12mm Partition Board Gypsum 4ft x 8ft ★</v>
      </c>
      <c r="P190" s="370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370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1938</v>
      </c>
      <c r="P191" s="370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370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1938</v>
      </c>
      <c r="P192" s="370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370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1938</v>
      </c>
      <c r="P193" s="370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370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1938</v>
      </c>
      <c r="P194" s="370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370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1938</v>
      </c>
      <c r="P195" s="370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370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1938</v>
      </c>
      <c r="P196" s="370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370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1938</v>
      </c>
      <c r="P197" s="370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1834</v>
      </c>
      <c r="R197" s="1" t="str">
        <f>IF($T197="","","⬒ "&amp;$T197)</f>
        <v>⬒ Default</v>
      </c>
      <c r="T197" s="370" t="str">
        <f>IF(Enginuity!$A$20="","",Enginuity!$A$20)</f>
        <v>Default</v>
      </c>
      <c r="U197" s="1" t="s">
        <v>121</v>
      </c>
      <c r="V197" s="1">
        <f>IF(Enginuity!$B$9="","",Enginuity!$B$9)</f>
        <v>300</v>
      </c>
      <c r="W197" s="400">
        <f>IFERROR(INDEX(CostData!$Q$3:$Q$12,MATCH(TRIM(Enginuity!$A$20),CostData!$P$3:$P$12,0)),"")</f>
        <v>3.9</v>
      </c>
    </row>
    <row r="198" spans="1:23" x14ac:dyDescent="0.25">
      <c r="A198" s="275" t="s">
        <v>254</v>
      </c>
      <c r="C198" s="415" t="s">
        <v>1938</v>
      </c>
      <c r="P198" s="370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1938</v>
      </c>
      <c r="P199" s="370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1938</v>
      </c>
      <c r="P200" s="370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1938</v>
      </c>
      <c r="P201" s="370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1938</v>
      </c>
      <c r="P202" s="370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1938</v>
      </c>
      <c r="Q203" s="370"/>
      <c r="S203" s="419"/>
      <c r="W203" s="400"/>
    </row>
    <row r="204" spans="1:23" x14ac:dyDescent="0.25">
      <c r="A204" s="275" t="s">
        <v>254</v>
      </c>
      <c r="C204" s="415" t="s">
        <v>1938</v>
      </c>
      <c r="P204" s="370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370" t="str">
        <f>IF($S204="","",IFERROR(_xlfn.XLOOKUP($S204,CostData!$U$22:$U$1000,CostData!$T$22:$T$1000,""),""))</f>
        <v>Hinge</v>
      </c>
      <c r="R204" s="1" t="str">
        <f>IF($S204="","",$T204)</f>
        <v>Hung Friction Stay</v>
      </c>
      <c r="S204" s="419" t="s">
        <v>1881</v>
      </c>
      <c r="T204" s="370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1524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1938</v>
      </c>
      <c r="P205" s="370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370" t="str">
        <f>IF($S205="","",IFERROR(_xlfn.XLOOKUP($S205,CostData!$U$22:$U$1000,CostData!$T$22:$T$1000,""),""))</f>
        <v>Handle</v>
      </c>
      <c r="R205" s="1" t="str">
        <f>IF($S205="","",$T205)</f>
        <v>Casement Handle</v>
      </c>
      <c r="S205" s="419" t="s">
        <v>113</v>
      </c>
      <c r="T205" s="370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1524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1938</v>
      </c>
      <c r="P206" s="370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370" t="str">
        <f>IF($S206="","",IFERROR(_xlfn.XLOOKUP($S206,CostData!$U$22:$U$1000,CostData!$T$22:$T$1000,""),""))</f>
        <v>Black Tape</v>
      </c>
      <c r="R206" s="1" t="str">
        <f>IF($S206="","",$T206)</f>
        <v>2.5" x 2 Black Tape</v>
      </c>
      <c r="S206" s="419" t="s">
        <v>1899</v>
      </c>
      <c r="T206" s="370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68905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1938</v>
      </c>
      <c r="P207" s="370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370" t="str">
        <f>IF($S207="","",IFERROR(_xlfn.XLOOKUP($S207,CostData!$U$22:$U$1000,CostData!$T$22:$T$1000,""),""))</f>
        <v>Gasket</v>
      </c>
      <c r="R207" s="1" t="s">
        <v>1933</v>
      </c>
      <c r="S207" s="24">
        <v>6154</v>
      </c>
      <c r="T207" s="370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300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1938</v>
      </c>
      <c r="P208" s="370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370" t="str">
        <f>IF($S208="","",IFERROR(_xlfn.XLOOKUP($S208,CostData!$U$22:$U$1000,CostData!$T$22:$T$1000,""),""))</f>
        <v>Gasket</v>
      </c>
      <c r="R208" s="1" t="s">
        <v>1934</v>
      </c>
      <c r="S208" s="24" t="s">
        <v>1918</v>
      </c>
      <c r="T208" s="370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45760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1938</v>
      </c>
      <c r="P209" s="370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370" t="str">
        <f>IF($S209="","",IFERROR(_xlfn.XLOOKUP($S209,CostData!$U$22:$U$1000,CostData!$T$22:$T$1000,""),""))</f>
        <v>Gasket</v>
      </c>
      <c r="R209" s="1" t="s">
        <v>1932</v>
      </c>
      <c r="S209" s="24">
        <v>6154</v>
      </c>
      <c r="T209" s="370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45760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1938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399"/>
      <c r="Q210" s="399" t="str">
        <f>IF($S210="","",IFERROR(_xlfn.XLOOKUP($S210,CostData!$U$22:$U$1000,CostData!$T$22:$T$1000,""),""))</f>
        <v>Gasket</v>
      </c>
      <c r="R210" s="401" t="s">
        <v>1935</v>
      </c>
      <c r="S210" s="418">
        <v>6154</v>
      </c>
      <c r="T210" s="399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45690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24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5"/>
      <c r="N211" s="415"/>
      <c r="O211" s="415"/>
      <c r="P211" s="415"/>
      <c r="Q211" s="409"/>
      <c r="R211" s="409"/>
      <c r="S211" s="417"/>
      <c r="T211" s="415"/>
      <c r="U211" s="409"/>
      <c r="V211" s="409"/>
      <c r="W211" s="426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Q233" s="370"/>
      <c r="S233" s="419"/>
      <c r="W233" s="400"/>
    </row>
    <row r="234" spans="1:23" x14ac:dyDescent="0.25">
      <c r="A234" s="275"/>
      <c r="Q234" s="370"/>
      <c r="S234" s="419"/>
      <c r="W234" s="400"/>
    </row>
    <row r="235" spans="1:23" x14ac:dyDescent="0.25">
      <c r="A235" s="275"/>
      <c r="Q235" s="370"/>
      <c r="S235" s="419"/>
      <c r="W235" s="400"/>
    </row>
    <row r="236" spans="1:23" x14ac:dyDescent="0.25">
      <c r="A236" s="275"/>
      <c r="Q236" s="370"/>
      <c r="S236" s="419"/>
      <c r="W236" s="400"/>
    </row>
    <row r="237" spans="1:23" x14ac:dyDescent="0.25">
      <c r="A237" s="275"/>
      <c r="Q237" s="370"/>
      <c r="W237" s="400"/>
    </row>
    <row r="238" spans="1:23" x14ac:dyDescent="0.25">
      <c r="A238" s="275"/>
      <c r="Q238" s="370"/>
      <c r="W238" s="400"/>
    </row>
    <row r="239" spans="1:23" x14ac:dyDescent="0.25">
      <c r="A239" s="275"/>
      <c r="Q239" s="370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399"/>
      <c r="Q240" s="399"/>
      <c r="R240" s="401"/>
      <c r="S240" s="418"/>
      <c r="T240" s="399"/>
      <c r="U240" s="401"/>
      <c r="V240" s="401"/>
      <c r="W240" s="413"/>
    </row>
    <row r="241" spans="1:23" x14ac:dyDescent="0.25">
      <c r="A241" s="424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5"/>
      <c r="N241" s="415"/>
      <c r="O241" s="415"/>
      <c r="P241" s="415"/>
      <c r="Q241" s="409"/>
      <c r="R241" s="409"/>
      <c r="S241" s="417"/>
      <c r="T241" s="415"/>
      <c r="U241" s="409"/>
      <c r="V241" s="409"/>
      <c r="W241" s="426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Q263" s="370"/>
      <c r="S263" s="419"/>
      <c r="W263" s="400"/>
    </row>
    <row r="264" spans="1:23" x14ac:dyDescent="0.25">
      <c r="A264" s="275"/>
      <c r="Q264" s="370"/>
      <c r="S264" s="419"/>
      <c r="W264" s="400"/>
    </row>
    <row r="265" spans="1:23" x14ac:dyDescent="0.25">
      <c r="A265" s="275"/>
      <c r="Q265" s="370"/>
      <c r="S265" s="419"/>
      <c r="W265" s="400"/>
    </row>
    <row r="266" spans="1:23" x14ac:dyDescent="0.25">
      <c r="A266" s="275"/>
      <c r="Q266" s="370"/>
      <c r="S266" s="419"/>
      <c r="W266" s="400"/>
    </row>
    <row r="267" spans="1:23" x14ac:dyDescent="0.25">
      <c r="A267" s="275"/>
      <c r="Q267" s="370"/>
      <c r="W267" s="400"/>
    </row>
    <row r="268" spans="1:23" x14ac:dyDescent="0.25">
      <c r="A268" s="275"/>
      <c r="Q268" s="370"/>
      <c r="W268" s="400"/>
    </row>
    <row r="269" spans="1:23" x14ac:dyDescent="0.25">
      <c r="A269" s="275"/>
      <c r="Q269" s="370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399"/>
      <c r="Q270" s="399"/>
      <c r="R270" s="401"/>
      <c r="S270" s="418"/>
      <c r="T270" s="399"/>
      <c r="U270" s="401"/>
      <c r="V270" s="401"/>
      <c r="W270" s="413"/>
    </row>
    <row r="271" spans="1:23" x14ac:dyDescent="0.25">
      <c r="A271" s="429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15"/>
      <c r="Q271" s="409"/>
      <c r="R271" s="409"/>
      <c r="S271" s="417"/>
      <c r="T271" s="415"/>
      <c r="U271" s="409"/>
      <c r="V271" s="409"/>
      <c r="W271" s="426"/>
    </row>
    <row r="272" spans="1:23" x14ac:dyDescent="0.25">
      <c r="A272" s="430"/>
      <c r="W272" s="400"/>
    </row>
    <row r="273" spans="1:23" x14ac:dyDescent="0.25">
      <c r="A273" s="430"/>
      <c r="W273" s="400"/>
    </row>
    <row r="274" spans="1:23" x14ac:dyDescent="0.25">
      <c r="A274" s="430"/>
      <c r="W274" s="400"/>
    </row>
    <row r="275" spans="1:23" x14ac:dyDescent="0.25">
      <c r="A275" s="430"/>
      <c r="W275" s="400"/>
    </row>
    <row r="276" spans="1:23" x14ac:dyDescent="0.25">
      <c r="A276" s="430"/>
      <c r="W276" s="400"/>
    </row>
    <row r="277" spans="1:23" x14ac:dyDescent="0.25">
      <c r="A277" s="430"/>
      <c r="W277" s="400"/>
    </row>
    <row r="278" spans="1:23" x14ac:dyDescent="0.25">
      <c r="A278" s="430"/>
      <c r="W278" s="400"/>
    </row>
    <row r="279" spans="1:23" x14ac:dyDescent="0.25">
      <c r="A279" s="430"/>
      <c r="W279" s="400"/>
    </row>
    <row r="280" spans="1:23" x14ac:dyDescent="0.25">
      <c r="A280" s="430"/>
      <c r="W280" s="400"/>
    </row>
    <row r="281" spans="1:23" x14ac:dyDescent="0.25">
      <c r="A281" s="430"/>
      <c r="W281" s="400"/>
    </row>
    <row r="282" spans="1:23" x14ac:dyDescent="0.25">
      <c r="A282" s="430"/>
      <c r="W282" s="400"/>
    </row>
    <row r="283" spans="1:23" x14ac:dyDescent="0.25">
      <c r="A283" s="430"/>
      <c r="W283" s="400"/>
    </row>
    <row r="284" spans="1:23" x14ac:dyDescent="0.25">
      <c r="A284" s="430"/>
      <c r="W284" s="400"/>
    </row>
    <row r="285" spans="1:23" x14ac:dyDescent="0.25">
      <c r="A285" s="430"/>
      <c r="W285" s="400"/>
    </row>
    <row r="286" spans="1:23" x14ac:dyDescent="0.25">
      <c r="A286" s="430"/>
      <c r="W286" s="400"/>
    </row>
    <row r="287" spans="1:23" x14ac:dyDescent="0.25">
      <c r="A287" s="430"/>
      <c r="W287" s="400"/>
    </row>
    <row r="288" spans="1:23" x14ac:dyDescent="0.25">
      <c r="A288" s="430"/>
      <c r="W288" s="400"/>
    </row>
    <row r="289" spans="1:23" x14ac:dyDescent="0.25">
      <c r="A289" s="430"/>
      <c r="W289" s="400"/>
    </row>
    <row r="290" spans="1:23" x14ac:dyDescent="0.25">
      <c r="A290" s="430"/>
      <c r="W290" s="400"/>
    </row>
    <row r="291" spans="1:23" x14ac:dyDescent="0.25">
      <c r="A291" s="430"/>
      <c r="W291" s="400"/>
    </row>
    <row r="292" spans="1:23" x14ac:dyDescent="0.25">
      <c r="A292" s="430"/>
      <c r="W292" s="400"/>
    </row>
    <row r="293" spans="1:23" x14ac:dyDescent="0.25">
      <c r="A293" s="430"/>
      <c r="W293" s="400"/>
    </row>
    <row r="294" spans="1:23" x14ac:dyDescent="0.25">
      <c r="A294" s="430"/>
      <c r="W294" s="400"/>
    </row>
    <row r="295" spans="1:23" x14ac:dyDescent="0.25">
      <c r="A295" s="430"/>
      <c r="W295" s="400"/>
    </row>
    <row r="296" spans="1:23" x14ac:dyDescent="0.25">
      <c r="A296" s="430"/>
      <c r="W296" s="400"/>
    </row>
    <row r="297" spans="1:23" x14ac:dyDescent="0.25">
      <c r="A297" s="430"/>
      <c r="W297" s="400"/>
    </row>
    <row r="298" spans="1:23" x14ac:dyDescent="0.25">
      <c r="A298" s="430"/>
      <c r="W298" s="400"/>
    </row>
    <row r="299" spans="1:23" x14ac:dyDescent="0.25">
      <c r="A299" s="430"/>
      <c r="W299" s="400"/>
    </row>
    <row r="300" spans="1:23" x14ac:dyDescent="0.25">
      <c r="A300" s="431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401"/>
      <c r="R300" s="401"/>
      <c r="S300" s="418"/>
      <c r="T300" s="399"/>
      <c r="U300" s="401"/>
      <c r="V300" s="401"/>
      <c r="W300" s="413"/>
    </row>
    <row r="301" spans="1:23" x14ac:dyDescent="0.25">
      <c r="A301" s="424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5"/>
      <c r="N301" s="415"/>
      <c r="O301" s="415"/>
      <c r="P301" s="415"/>
      <c r="Q301" s="409"/>
      <c r="R301" s="409"/>
      <c r="S301" s="417"/>
      <c r="T301" s="415"/>
      <c r="U301" s="409"/>
      <c r="V301" s="409"/>
      <c r="W301" s="426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Q323" s="370"/>
      <c r="S323" s="419"/>
      <c r="W323" s="400"/>
    </row>
    <row r="324" spans="1:23" x14ac:dyDescent="0.25">
      <c r="A324" s="275"/>
      <c r="Q324" s="370"/>
      <c r="S324" s="419"/>
      <c r="W324" s="400"/>
    </row>
    <row r="325" spans="1:23" x14ac:dyDescent="0.25">
      <c r="A325" s="275"/>
      <c r="Q325" s="370"/>
      <c r="S325" s="419"/>
      <c r="W325" s="400"/>
    </row>
    <row r="326" spans="1:23" x14ac:dyDescent="0.25">
      <c r="A326" s="275"/>
      <c r="Q326" s="370"/>
      <c r="S326" s="419"/>
      <c r="W326" s="400"/>
    </row>
    <row r="327" spans="1:23" x14ac:dyDescent="0.25">
      <c r="A327" s="275"/>
      <c r="Q327" s="370"/>
      <c r="W327" s="400"/>
    </row>
    <row r="328" spans="1:23" x14ac:dyDescent="0.25">
      <c r="A328" s="275"/>
      <c r="Q328" s="370"/>
      <c r="W328" s="400"/>
    </row>
    <row r="329" spans="1:23" x14ac:dyDescent="0.25">
      <c r="A329" s="275"/>
      <c r="Q329" s="370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399"/>
      <c r="Q330" s="399"/>
      <c r="R330" s="401"/>
      <c r="S330" s="418"/>
      <c r="T330" s="399"/>
      <c r="U330" s="401"/>
      <c r="V330" s="401"/>
      <c r="W330" s="413"/>
    </row>
    <row r="331" spans="1:23" x14ac:dyDescent="0.25">
      <c r="A331" s="424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5"/>
      <c r="N331" s="415"/>
      <c r="O331" s="415"/>
      <c r="P331" s="415"/>
      <c r="Q331" s="409"/>
      <c r="R331" s="409"/>
      <c r="S331" s="417"/>
      <c r="T331" s="415"/>
      <c r="U331" s="409"/>
      <c r="V331" s="409"/>
      <c r="W331" s="426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Q353" s="370"/>
      <c r="S353" s="419"/>
      <c r="W353" s="400"/>
    </row>
    <row r="354" spans="1:23" x14ac:dyDescent="0.25">
      <c r="A354" s="275"/>
      <c r="Q354" s="370"/>
      <c r="S354" s="419"/>
      <c r="W354" s="400"/>
    </row>
    <row r="355" spans="1:23" x14ac:dyDescent="0.25">
      <c r="A355" s="275"/>
      <c r="Q355" s="370"/>
      <c r="S355" s="419"/>
      <c r="W355" s="400"/>
    </row>
    <row r="356" spans="1:23" x14ac:dyDescent="0.25">
      <c r="A356" s="275"/>
      <c r="Q356" s="370"/>
      <c r="S356" s="419"/>
      <c r="W356" s="400"/>
    </row>
    <row r="357" spans="1:23" x14ac:dyDescent="0.25">
      <c r="A357" s="275"/>
      <c r="Q357" s="370"/>
      <c r="W357" s="400"/>
    </row>
    <row r="358" spans="1:23" x14ac:dyDescent="0.25">
      <c r="A358" s="275"/>
      <c r="Q358" s="370"/>
      <c r="W358" s="400"/>
    </row>
    <row r="359" spans="1:23" x14ac:dyDescent="0.25">
      <c r="A359" s="275"/>
      <c r="Q359" s="370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401"/>
      <c r="S360" s="418"/>
      <c r="T360" s="399"/>
      <c r="U360" s="401"/>
      <c r="V360" s="401"/>
      <c r="W360" s="413"/>
    </row>
    <row r="361" spans="1:23" x14ac:dyDescent="0.25">
      <c r="A361" s="424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5"/>
      <c r="N361" s="415"/>
      <c r="O361" s="415"/>
      <c r="P361" s="415"/>
      <c r="Q361" s="409"/>
      <c r="R361" s="409"/>
      <c r="S361" s="417"/>
      <c r="T361" s="415"/>
      <c r="U361" s="409"/>
      <c r="V361" s="409"/>
      <c r="W361" s="426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Q383" s="370"/>
      <c r="S383" s="419"/>
      <c r="W383" s="400"/>
    </row>
    <row r="384" spans="1:23" x14ac:dyDescent="0.25">
      <c r="A384" s="275"/>
      <c r="Q384" s="370"/>
      <c r="S384" s="419"/>
      <c r="W384" s="400"/>
    </row>
    <row r="385" spans="1:23" x14ac:dyDescent="0.25">
      <c r="A385" s="275"/>
      <c r="Q385" s="370"/>
      <c r="S385" s="419"/>
      <c r="W385" s="400"/>
    </row>
    <row r="386" spans="1:23" x14ac:dyDescent="0.25">
      <c r="A386" s="275"/>
      <c r="Q386" s="370"/>
      <c r="S386" s="419"/>
      <c r="W386" s="400"/>
    </row>
    <row r="387" spans="1:23" x14ac:dyDescent="0.25">
      <c r="A387" s="275"/>
      <c r="Q387" s="370"/>
      <c r="W387" s="400"/>
    </row>
    <row r="388" spans="1:23" x14ac:dyDescent="0.25">
      <c r="A388" s="275"/>
      <c r="Q388" s="370"/>
      <c r="W388" s="400"/>
    </row>
    <row r="389" spans="1:23" x14ac:dyDescent="0.25">
      <c r="A389" s="275"/>
      <c r="Q389" s="370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399"/>
      <c r="Q390" s="399"/>
      <c r="R390" s="401"/>
      <c r="S390" s="418"/>
      <c r="T390" s="399"/>
      <c r="U390" s="401"/>
      <c r="V390" s="401"/>
      <c r="W390" s="413"/>
    </row>
    <row r="391" spans="1:23" x14ac:dyDescent="0.25">
      <c r="A391" s="424" t="s">
        <v>254</v>
      </c>
      <c r="B391" s="415" t="s">
        <v>1847</v>
      </c>
      <c r="C391" s="415" t="s">
        <v>1938</v>
      </c>
      <c r="D391" s="415" t="s">
        <v>1793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5">
        <v>0.54649999999999999</v>
      </c>
      <c r="N391" s="415">
        <v>609.6</v>
      </c>
      <c r="O391" s="415"/>
      <c r="P391" s="415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09" t="s">
        <v>1813</v>
      </c>
      <c r="S391" s="417" t="s">
        <v>1928</v>
      </c>
      <c r="T391" s="415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391" s="426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1849</v>
      </c>
      <c r="C392" s="415" t="s">
        <v>1938</v>
      </c>
      <c r="D392" s="370" t="s">
        <v>1815</v>
      </c>
      <c r="E392" s="370" t="str">
        <v>12mm Bronze Tempered Glass Panel</v>
      </c>
      <c r="G392" s="370" t="s">
        <v>1941</v>
      </c>
      <c r="P392" s="370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1850</v>
      </c>
      <c r="S392" s="24" t="s">
        <v>1929</v>
      </c>
      <c r="T392" s="370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45760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1938</v>
      </c>
      <c r="D393" s="370" t="s">
        <v>1794</v>
      </c>
      <c r="E393" s="370" t="str">
        <v>12mm Clear Float Glass</v>
      </c>
      <c r="P393" s="370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1864</v>
      </c>
      <c r="S393" s="24" t="s">
        <v>1930</v>
      </c>
      <c r="T393" s="370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22845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1848</v>
      </c>
      <c r="C394" s="415" t="s">
        <v>1938</v>
      </c>
      <c r="D394" s="370" t="s">
        <v>1816</v>
      </c>
      <c r="E394" s="370" t="str">
        <v>12mm Clear Tempered Glass Panel</v>
      </c>
      <c r="P394" s="370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1863</v>
      </c>
      <c r="S394" s="24" t="s">
        <v>1930</v>
      </c>
      <c r="T394" s="370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1938</v>
      </c>
      <c r="E395" s="370" t="str">
        <v>12mm Crystal Tempered Glass Panel</v>
      </c>
      <c r="P395" s="370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1938</v>
      </c>
      <c r="E396" s="370" t="str">
        <v>12mm Euro Grey Tempered Glass Panel</v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1938</v>
      </c>
      <c r="E397" s="370" t="str">
        <v>12mm Frosted Float Glass</v>
      </c>
      <c r="P397" s="370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1931</v>
      </c>
      <c r="T397" s="398" t="str">
        <f>Enginuity!A22</f>
        <v>▼ [Lattice]</v>
      </c>
      <c r="U397" s="1" t="s">
        <v>1940</v>
      </c>
      <c r="V397" s="1">
        <f>IF(TRIM(Enginuity!$A$22)="","",IF(AND(Enginuity!$B$6&gt;0,Enginuity!$B$7&gt;0,Enginuity!$B$13&gt;0),(2*Enginuity!$B$7*Enginuity!$B$13)+(2*Enginuity!$B$6),""))</f>
        <v>45760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1938</v>
      </c>
      <c r="E398" s="370" t="str">
        <v>12mm Green Tempered Glass Panel</v>
      </c>
      <c r="P398" s="370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370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1938</v>
      </c>
      <c r="E399" s="370" t="str">
        <v>12mm Grey Tempered Glass Panel</v>
      </c>
      <c r="P399" s="370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370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1938</v>
      </c>
      <c r="E400" s="370" t="str">
        <v>12mm Partition Board Gypsum 4ft x 8ft ★</v>
      </c>
      <c r="P400" s="370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370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1938</v>
      </c>
      <c r="P401" s="370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370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1938</v>
      </c>
      <c r="P402" s="370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370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1938</v>
      </c>
      <c r="P403" s="370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370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1938</v>
      </c>
      <c r="P404" s="370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370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1938</v>
      </c>
      <c r="P405" s="370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370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1938</v>
      </c>
      <c r="P406" s="370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370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1938</v>
      </c>
      <c r="P407" s="370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1834</v>
      </c>
      <c r="R407" s="1" t="str">
        <f>IF($T407="","","⬒ "&amp;$T407)</f>
        <v>⬒ Default</v>
      </c>
      <c r="T407" s="370" t="str">
        <f>IF(Enginuity!$A$20="","",Enginuity!$A$20)</f>
        <v>Default</v>
      </c>
      <c r="U407" s="1" t="s">
        <v>121</v>
      </c>
      <c r="V407" s="1">
        <f>IF(Enginuity!$B$9="","",Enginuity!$B$9)</f>
        <v>300</v>
      </c>
      <c r="W407" s="400">
        <f>IFERROR(INDEX(CostData!$Q$3:$Q$12,MATCH(TRIM(Enginuity!$A$20),CostData!$P$3:$P$12,0)),"")</f>
        <v>3.9</v>
      </c>
    </row>
    <row r="408" spans="1:23" x14ac:dyDescent="0.25">
      <c r="A408" s="275" t="s">
        <v>254</v>
      </c>
      <c r="C408" s="415" t="s">
        <v>1938</v>
      </c>
      <c r="P408" s="370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1938</v>
      </c>
      <c r="P409" s="370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1938</v>
      </c>
      <c r="P410" s="370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1938</v>
      </c>
      <c r="P411" s="370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1938</v>
      </c>
      <c r="P412" s="370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1938</v>
      </c>
      <c r="Q413" s="370"/>
      <c r="S413" s="419"/>
      <c r="W413" s="400"/>
    </row>
    <row r="414" spans="1:23" x14ac:dyDescent="0.25">
      <c r="A414" s="275" t="s">
        <v>254</v>
      </c>
      <c r="C414" s="415" t="s">
        <v>1938</v>
      </c>
      <c r="P414" s="370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370" t="str">
        <f>IF($S414="","",IFERROR(_xlfn.XLOOKUP($S414,CostData!$U$22:$U$1000,CostData!$T$22:$T$1000,""),""))</f>
        <v>Hinge</v>
      </c>
      <c r="R414" s="1" t="str">
        <f>IF($S414="","",$T414)</f>
        <v>Hung Friction Stay</v>
      </c>
      <c r="S414" s="419" t="s">
        <v>1881</v>
      </c>
      <c r="T414" s="370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1524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1938</v>
      </c>
      <c r="P415" s="370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370" t="str">
        <f>IF($S415="","",IFERROR(_xlfn.XLOOKUP($S415,CostData!$U$22:$U$1000,CostData!$T$22:$T$1000,""),""))</f>
        <v>Handle</v>
      </c>
      <c r="R415" s="1" t="str">
        <f>IF($S415="","",$T415)</f>
        <v>Casement Handle</v>
      </c>
      <c r="S415" s="419" t="s">
        <v>113</v>
      </c>
      <c r="T415" s="370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1524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1938</v>
      </c>
      <c r="P416" s="370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370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419" t="s">
        <v>1899</v>
      </c>
      <c r="T416" s="370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68905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1938</v>
      </c>
      <c r="P417" s="370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370" t="str">
        <f>IF($S417="","",IFERROR(_xlfn.XLOOKUP($S417,CostData!$U$22:$U$1000,CostData!$T$22:$T$1000,""),""))</f>
        <v>Gasket</v>
      </c>
      <c r="R417" s="1" t="s">
        <v>1933</v>
      </c>
      <c r="S417" s="24">
        <v>6154</v>
      </c>
      <c r="T417" s="370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300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1938</v>
      </c>
      <c r="P418" s="370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370" t="str">
        <f>IF($S418="","",IFERROR(_xlfn.XLOOKUP($S418,CostData!$U$22:$U$1000,CostData!$T$22:$T$1000,""),""))</f>
        <v>Gasket</v>
      </c>
      <c r="R418" s="1" t="s">
        <v>1934</v>
      </c>
      <c r="S418" s="24" t="s">
        <v>1918</v>
      </c>
      <c r="T418" s="370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45760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1938</v>
      </c>
      <c r="P419" s="370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370" t="str">
        <f>IF($S419="","",IFERROR(_xlfn.XLOOKUP($S419,CostData!$U$22:$U$1000,CostData!$T$22:$T$1000,""),""))</f>
        <v>Gasket</v>
      </c>
      <c r="R419" s="1" t="s">
        <v>1932</v>
      </c>
      <c r="S419" s="24">
        <v>6154</v>
      </c>
      <c r="T419" s="370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45760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1938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399"/>
      <c r="Q420" s="399" t="str">
        <f>IF($S420="","",IFERROR(_xlfn.XLOOKUP($S420,CostData!$U$22:$U$1000,CostData!$T$22:$T$1000,""),""))</f>
        <v>Gasket</v>
      </c>
      <c r="R420" s="401" t="s">
        <v>1935</v>
      </c>
      <c r="S420" s="418">
        <v>6154</v>
      </c>
      <c r="T420" s="399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45690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24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5"/>
      <c r="N451" s="415"/>
      <c r="O451" s="415"/>
      <c r="P451" s="415"/>
      <c r="Q451" s="409"/>
      <c r="R451" s="409"/>
      <c r="S451" s="417"/>
      <c r="T451" s="415"/>
      <c r="U451" s="409"/>
      <c r="V451" s="409"/>
      <c r="W451" s="426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Q473" s="370"/>
      <c r="S473" s="419"/>
      <c r="W473" s="400"/>
    </row>
    <row r="474" spans="1:23" x14ac:dyDescent="0.25">
      <c r="A474" s="275"/>
      <c r="Q474" s="370"/>
      <c r="S474" s="419"/>
      <c r="W474" s="400"/>
    </row>
    <row r="475" spans="1:23" x14ac:dyDescent="0.25">
      <c r="A475" s="275"/>
      <c r="Q475" s="370"/>
      <c r="S475" s="419"/>
      <c r="W475" s="400"/>
    </row>
    <row r="476" spans="1:23" x14ac:dyDescent="0.25">
      <c r="A476" s="275"/>
      <c r="Q476" s="370"/>
      <c r="S476" s="419"/>
      <c r="W476" s="400"/>
    </row>
    <row r="477" spans="1:23" x14ac:dyDescent="0.25">
      <c r="A477" s="275"/>
      <c r="Q477" s="370"/>
      <c r="W477" s="400"/>
    </row>
    <row r="478" spans="1:23" x14ac:dyDescent="0.25">
      <c r="A478" s="275"/>
      <c r="Q478" s="370"/>
      <c r="W478" s="400"/>
    </row>
    <row r="479" spans="1:23" x14ac:dyDescent="0.25">
      <c r="A479" s="275"/>
      <c r="Q479" s="370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399"/>
      <c r="Q480" s="399"/>
      <c r="R480" s="401"/>
      <c r="S480" s="418"/>
      <c r="T480" s="399"/>
      <c r="U480" s="401"/>
      <c r="V480" s="401"/>
      <c r="W480" s="413"/>
    </row>
    <row r="481" spans="1:23" x14ac:dyDescent="0.25">
      <c r="A481" s="424" t="s">
        <v>254</v>
      </c>
      <c r="B481" s="415" t="s">
        <v>1847</v>
      </c>
      <c r="C481" s="415" t="s">
        <v>1937</v>
      </c>
      <c r="D481" s="415" t="s">
        <v>1793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1859</v>
      </c>
      <c r="J481" s="415" t="s">
        <v>1860</v>
      </c>
      <c r="K481" s="415" t="s">
        <v>1861</v>
      </c>
      <c r="L481" s="415" t="s">
        <v>1862</v>
      </c>
      <c r="M481" s="425">
        <v>0.54649999999999999</v>
      </c>
      <c r="N481" s="415">
        <v>609.6</v>
      </c>
      <c r="O481" s="415"/>
      <c r="P481" s="415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09" t="s">
        <v>1813</v>
      </c>
      <c r="S481" s="417" t="s">
        <v>1928</v>
      </c>
      <c r="T481" s="415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481" s="426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1849</v>
      </c>
      <c r="C482" s="370" t="s">
        <v>1937</v>
      </c>
      <c r="D482" s="370" t="s">
        <v>1815</v>
      </c>
      <c r="E482" s="370" t="str">
        <v>12mm Bronze Tempered Glass Panel</v>
      </c>
      <c r="G482" s="370" t="s">
        <v>1867</v>
      </c>
      <c r="H482" s="370" t="s">
        <v>1867</v>
      </c>
      <c r="P482" s="370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1850</v>
      </c>
      <c r="S482" s="24" t="s">
        <v>1929</v>
      </c>
      <c r="T482" s="370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1937</v>
      </c>
      <c r="D483" s="370" t="s">
        <v>1794</v>
      </c>
      <c r="E483" s="370" t="str">
        <v>12mm Clear Float Glass</v>
      </c>
      <c r="G483" s="370" t="s">
        <v>1868</v>
      </c>
      <c r="H483" s="370" t="s">
        <v>1868</v>
      </c>
      <c r="P483" s="370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1864</v>
      </c>
      <c r="S483" s="24" t="s">
        <v>1930</v>
      </c>
      <c r="T483" s="370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1848</v>
      </c>
      <c r="C484" s="370" t="s">
        <v>1937</v>
      </c>
      <c r="D484" s="370" t="s">
        <v>1816</v>
      </c>
      <c r="E484" s="370" t="str">
        <v>12mm Clear Tempered Glass Panel</v>
      </c>
      <c r="G484" s="370" t="s">
        <v>1869</v>
      </c>
      <c r="H484" s="370" t="s">
        <v>1869</v>
      </c>
      <c r="P484" s="370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1863</v>
      </c>
      <c r="S484" s="24" t="s">
        <v>1930</v>
      </c>
      <c r="T484" s="370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1937</v>
      </c>
      <c r="E485" s="370" t="str">
        <v>12mm Crystal Tempered Glass Panel</v>
      </c>
      <c r="G485" s="370" t="s">
        <v>1870</v>
      </c>
      <c r="H485" s="370" t="s">
        <v>1870</v>
      </c>
      <c r="P485" s="370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370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1937</v>
      </c>
      <c r="E486" s="370" t="str">
        <v>12mm Euro Grey Tempered Glass Panel</v>
      </c>
      <c r="G486" s="370" t="s">
        <v>1871</v>
      </c>
      <c r="H486" s="370" t="s">
        <v>1871</v>
      </c>
      <c r="P486" s="370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>▼ [Lattice] Fix Window</v>
      </c>
      <c r="T486" s="370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1937</v>
      </c>
      <c r="E487" s="370" t="str">
        <v>12mm Frosted Float Glass</v>
      </c>
      <c r="G487" s="370" t="s">
        <v>1872</v>
      </c>
      <c r="H487" s="370" t="s">
        <v>1872</v>
      </c>
      <c r="P487" s="370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370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1937</v>
      </c>
      <c r="E488" s="370" t="str">
        <v>12mm Green Tempered Glass Panel</v>
      </c>
      <c r="G488" s="370" t="s">
        <v>1873</v>
      </c>
      <c r="H488" s="370" t="s">
        <v>1873</v>
      </c>
      <c r="P488" s="370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370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1937</v>
      </c>
      <c r="E489" s="370" t="str">
        <v>12mm Grey Tempered Glass Panel</v>
      </c>
      <c r="G489" s="370" t="s">
        <v>1874</v>
      </c>
      <c r="H489" s="370" t="s">
        <v>1874</v>
      </c>
      <c r="P489" s="370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370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1937</v>
      </c>
      <c r="E490" s="370" t="str">
        <v>12mm Partition Board Gypsum 4ft x 8ft ★</v>
      </c>
      <c r="P490" s="370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370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1937</v>
      </c>
      <c r="P491" s="370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370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1937</v>
      </c>
      <c r="P492" s="370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370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1937</v>
      </c>
      <c r="P493" s="370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370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1937</v>
      </c>
      <c r="P494" s="370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370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1937</v>
      </c>
      <c r="P495" s="370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370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1937</v>
      </c>
      <c r="P496" s="370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370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1937</v>
      </c>
      <c r="P497" s="370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1834</v>
      </c>
      <c r="R497" s="1" t="str">
        <f>IF($T497="","","⬒ "&amp;$T497)</f>
        <v>⬒ Default</v>
      </c>
      <c r="T497" s="370" t="str">
        <f>IF(Enginuity!$A$20="","",Enginuity!$A$20)</f>
        <v>Default</v>
      </c>
      <c r="U497" s="1" t="s">
        <v>121</v>
      </c>
      <c r="V497" s="1">
        <f>IF(Enginuity!$B$9="","",Enginuity!$B$9)</f>
        <v>300</v>
      </c>
      <c r="W497" s="400">
        <f>IFERROR(INDEX(CostData!$Q$3:$Q$12,MATCH(TRIM(Enginuity!$A$20),CostData!$P$3:$P$12,0)),"")</f>
        <v>3.9</v>
      </c>
    </row>
    <row r="498" spans="1:23" x14ac:dyDescent="0.25">
      <c r="A498" s="275" t="s">
        <v>254</v>
      </c>
      <c r="C498" s="370" t="s">
        <v>1937</v>
      </c>
      <c r="P498" s="370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1937</v>
      </c>
      <c r="P499" s="370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1937</v>
      </c>
      <c r="P500" s="370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1937</v>
      </c>
      <c r="P501" s="370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1937</v>
      </c>
      <c r="P502" s="370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1937</v>
      </c>
      <c r="P503" s="370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370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419" t="s">
        <v>1881</v>
      </c>
      <c r="T503" s="370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1937</v>
      </c>
      <c r="P504" s="370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370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419" t="s">
        <v>1880</v>
      </c>
      <c r="T504" s="370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1524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1937</v>
      </c>
      <c r="P505" s="370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370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419" t="s">
        <v>113</v>
      </c>
      <c r="T505" s="370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1937</v>
      </c>
      <c r="P506" s="370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370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419" t="s">
        <v>1899</v>
      </c>
      <c r="T506" s="370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68905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1937</v>
      </c>
      <c r="P507" s="370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370" t="str">
        <f>IF($S507="","",IFERROR(_xlfn.XLOOKUP($S507,CostData!$U$22:$U$1000,CostData!$T$22:$T$1000,""),""))</f>
        <v>Gasket</v>
      </c>
      <c r="R507" s="1" t="s">
        <v>1933</v>
      </c>
      <c r="S507" s="24" t="s">
        <v>1914</v>
      </c>
      <c r="T507" s="370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300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1937</v>
      </c>
      <c r="P508" s="370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370" t="str">
        <f>IF($S508="","",IFERROR(_xlfn.XLOOKUP($S508,CostData!$U$22:$U$1000,CostData!$T$22:$T$1000,""),""))</f>
        <v>Gasket</v>
      </c>
      <c r="R508" s="1" t="s">
        <v>1934</v>
      </c>
      <c r="S508" s="24" t="s">
        <v>1918</v>
      </c>
      <c r="T508" s="370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45760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1937</v>
      </c>
      <c r="P509" s="370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370" t="str">
        <f>IF($S509="","",IFERROR(_xlfn.XLOOKUP($S509,CostData!$U$22:$U$1000,CostData!$T$22:$T$1000,""),""))</f>
        <v>Gasket</v>
      </c>
      <c r="R509" s="1" t="s">
        <v>1932</v>
      </c>
      <c r="S509" s="24">
        <v>6154</v>
      </c>
      <c r="T509" s="370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45760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1937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399"/>
      <c r="Q510" s="399" t="str">
        <f>IF($S510="","",IFERROR(_xlfn.XLOOKUP($S510,CostData!$U$22:$U$1000,CostData!$T$22:$T$1000,""),""))</f>
        <v>Gasket</v>
      </c>
      <c r="R510" s="401" t="s">
        <v>1935</v>
      </c>
      <c r="S510" s="418">
        <v>6154</v>
      </c>
      <c r="T510" s="399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45690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24" t="s">
        <v>254</v>
      </c>
      <c r="B511" s="415" t="s">
        <v>1847</v>
      </c>
      <c r="C511" s="415" t="s">
        <v>1937</v>
      </c>
      <c r="D511" s="415" t="s">
        <v>1793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1859</v>
      </c>
      <c r="J511" s="415" t="s">
        <v>1860</v>
      </c>
      <c r="K511" s="415" t="s">
        <v>1861</v>
      </c>
      <c r="L511" s="415" t="s">
        <v>1862</v>
      </c>
      <c r="M511" s="425">
        <v>0.54649999999999999</v>
      </c>
      <c r="N511" s="415">
        <v>609.6</v>
      </c>
      <c r="O511" s="415"/>
      <c r="P511" s="415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09" t="s">
        <v>1813</v>
      </c>
      <c r="S511" s="417" t="s">
        <v>1928</v>
      </c>
      <c r="T511" s="415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11" s="426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1849</v>
      </c>
      <c r="C512" s="370" t="s">
        <v>1937</v>
      </c>
      <c r="D512" s="370" t="s">
        <v>1815</v>
      </c>
      <c r="E512" s="370" t="str">
        <v>12mm Bronze Tempered Glass Panel</v>
      </c>
      <c r="G512" s="370" t="s">
        <v>1867</v>
      </c>
      <c r="H512" s="370" t="s">
        <v>1867</v>
      </c>
      <c r="P512" s="370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1850</v>
      </c>
      <c r="S512" s="24" t="s">
        <v>1929</v>
      </c>
      <c r="T512" s="370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1937</v>
      </c>
      <c r="D513" s="370" t="s">
        <v>1794</v>
      </c>
      <c r="E513" s="370" t="str">
        <v>12mm Clear Float Glass</v>
      </c>
      <c r="G513" s="370" t="s">
        <v>1868</v>
      </c>
      <c r="H513" s="370" t="s">
        <v>1868</v>
      </c>
      <c r="P513" s="370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1864</v>
      </c>
      <c r="S513" s="24" t="s">
        <v>1930</v>
      </c>
      <c r="T513" s="370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1848</v>
      </c>
      <c r="C514" s="370" t="s">
        <v>1937</v>
      </c>
      <c r="D514" s="370" t="s">
        <v>1816</v>
      </c>
      <c r="E514" s="370" t="str">
        <v>12mm Clear Tempered Glass Panel</v>
      </c>
      <c r="G514" s="370" t="s">
        <v>1869</v>
      </c>
      <c r="H514" s="370" t="s">
        <v>1869</v>
      </c>
      <c r="P514" s="370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1863</v>
      </c>
      <c r="S514" s="24" t="s">
        <v>1930</v>
      </c>
      <c r="T514" s="370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1937</v>
      </c>
      <c r="E515" s="370" t="str">
        <v>12mm Crystal Tempered Glass Panel</v>
      </c>
      <c r="G515" s="370" t="s">
        <v>1870</v>
      </c>
      <c r="H515" s="370" t="s">
        <v>1870</v>
      </c>
      <c r="P515" s="370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370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1937</v>
      </c>
      <c r="E516" s="370" t="str">
        <v>12mm Euro Grey Tempered Glass Panel</v>
      </c>
      <c r="G516" s="370" t="s">
        <v>1871</v>
      </c>
      <c r="H516" s="370" t="s">
        <v>1871</v>
      </c>
      <c r="P516" s="370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>▼ [Lattice] Fix Window</v>
      </c>
      <c r="T516" s="370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1937</v>
      </c>
      <c r="E517" s="370" t="str">
        <v>12mm Frosted Float Glass</v>
      </c>
      <c r="G517" s="370" t="s">
        <v>1872</v>
      </c>
      <c r="H517" s="370" t="s">
        <v>1872</v>
      </c>
      <c r="P517" s="370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370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1937</v>
      </c>
      <c r="E518" s="370" t="str">
        <v>12mm Green Tempered Glass Panel</v>
      </c>
      <c r="G518" s="370" t="s">
        <v>1873</v>
      </c>
      <c r="H518" s="370" t="s">
        <v>1873</v>
      </c>
      <c r="P518" s="370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370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1937</v>
      </c>
      <c r="E519" s="370" t="str">
        <v>12mm Grey Tempered Glass Panel</v>
      </c>
      <c r="G519" s="370" t="s">
        <v>1874</v>
      </c>
      <c r="H519" s="370" t="s">
        <v>1874</v>
      </c>
      <c r="P519" s="370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370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1937</v>
      </c>
      <c r="E520" s="370" t="str">
        <v>12mm Partition Board Gypsum 4ft x 8ft ★</v>
      </c>
      <c r="P520" s="370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370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1937</v>
      </c>
      <c r="P521" s="370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370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1937</v>
      </c>
      <c r="P522" s="370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370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1937</v>
      </c>
      <c r="P523" s="370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370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1937</v>
      </c>
      <c r="P524" s="370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370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1937</v>
      </c>
      <c r="P525" s="370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370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1937</v>
      </c>
      <c r="P526" s="370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370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1937</v>
      </c>
      <c r="P527" s="370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1834</v>
      </c>
      <c r="R527" s="1" t="str">
        <f>IF($T527="","","⬒ "&amp;$T527)</f>
        <v>⬒ Default</v>
      </c>
      <c r="T527" s="370" t="str">
        <f>IF(Enginuity!$A$20="","",Enginuity!$A$20)</f>
        <v>Default</v>
      </c>
      <c r="U527" s="1" t="s">
        <v>121</v>
      </c>
      <c r="V527" s="1">
        <f>IF(Enginuity!$B$9="","",Enginuity!$B$9)</f>
        <v>300</v>
      </c>
      <c r="W527" s="400">
        <f>IFERROR(INDEX(CostData!$Q$3:$Q$12,MATCH(TRIM(Enginuity!$A$20),CostData!$P$3:$P$12,0)),"")</f>
        <v>3.9</v>
      </c>
    </row>
    <row r="528" spans="1:23" x14ac:dyDescent="0.25">
      <c r="A528" s="275" t="s">
        <v>254</v>
      </c>
      <c r="C528" s="370" t="s">
        <v>1937</v>
      </c>
      <c r="P528" s="370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1937</v>
      </c>
      <c r="P529" s="370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1937</v>
      </c>
      <c r="P530" s="370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1937</v>
      </c>
      <c r="P531" s="370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1937</v>
      </c>
      <c r="P532" s="370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1937</v>
      </c>
      <c r="P533" s="370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370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419" t="s">
        <v>1881</v>
      </c>
      <c r="T533" s="370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1937</v>
      </c>
      <c r="P534" s="370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370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419" t="s">
        <v>1880</v>
      </c>
      <c r="T534" s="370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1524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1937</v>
      </c>
      <c r="P535" s="370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370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419" t="s">
        <v>113</v>
      </c>
      <c r="T535" s="370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1937</v>
      </c>
      <c r="P536" s="370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370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419" t="s">
        <v>1899</v>
      </c>
      <c r="T536" s="370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68905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1937</v>
      </c>
      <c r="P537" s="370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370" t="str">
        <f>IF($S537="","",IFERROR(_xlfn.XLOOKUP($S537,CostData!$U$22:$U$1000,CostData!$T$22:$T$1000,""),""))</f>
        <v>Gasket</v>
      </c>
      <c r="R537" s="1" t="s">
        <v>1933</v>
      </c>
      <c r="S537" s="24" t="s">
        <v>1914</v>
      </c>
      <c r="T537" s="370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300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1937</v>
      </c>
      <c r="P538" s="370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370" t="str">
        <f>IF($S538="","",IFERROR(_xlfn.XLOOKUP($S538,CostData!$U$22:$U$1000,CostData!$T$22:$T$1000,""),""))</f>
        <v>Gasket</v>
      </c>
      <c r="R538" s="1" t="s">
        <v>1934</v>
      </c>
      <c r="S538" s="24" t="s">
        <v>1918</v>
      </c>
      <c r="T538" s="370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45760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1937</v>
      </c>
      <c r="P539" s="370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370" t="str">
        <f>IF($S539="","",IFERROR(_xlfn.XLOOKUP($S539,CostData!$U$22:$U$1000,CostData!$T$22:$T$1000,""),""))</f>
        <v>Gasket</v>
      </c>
      <c r="R539" s="1" t="s">
        <v>1932</v>
      </c>
      <c r="S539" s="24">
        <v>6154</v>
      </c>
      <c r="T539" s="370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45760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1937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399"/>
      <c r="Q540" s="399" t="str">
        <f>IF($S540="","",IFERROR(_xlfn.XLOOKUP($S540,CostData!$U$22:$U$1000,CostData!$T$22:$T$1000,""),""))</f>
        <v>Gasket</v>
      </c>
      <c r="R540" s="401" t="s">
        <v>1935</v>
      </c>
      <c r="S540" s="418">
        <v>6154</v>
      </c>
      <c r="T540" s="399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45690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24" t="s">
        <v>254</v>
      </c>
      <c r="B541" s="415" t="s">
        <v>1847</v>
      </c>
      <c r="C541" s="415" t="s">
        <v>1937</v>
      </c>
      <c r="D541" s="415" t="s">
        <v>1793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1859</v>
      </c>
      <c r="J541" s="415" t="s">
        <v>1860</v>
      </c>
      <c r="K541" s="415" t="s">
        <v>1861</v>
      </c>
      <c r="L541" s="415" t="s">
        <v>1862</v>
      </c>
      <c r="M541" s="425">
        <v>0.54649999999999999</v>
      </c>
      <c r="N541" s="415">
        <v>609.6</v>
      </c>
      <c r="O541" s="415"/>
      <c r="P541" s="415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09" t="s">
        <v>1813</v>
      </c>
      <c r="S541" s="417" t="s">
        <v>1928</v>
      </c>
      <c r="T541" s="415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41" s="426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1849</v>
      </c>
      <c r="C542" s="370" t="s">
        <v>1937</v>
      </c>
      <c r="D542" s="370" t="s">
        <v>1815</v>
      </c>
      <c r="E542" s="370" t="str">
        <v>12mm Bronze Tempered Glass Panel</v>
      </c>
      <c r="G542" s="370" t="s">
        <v>1867</v>
      </c>
      <c r="H542" s="370" t="s">
        <v>1867</v>
      </c>
      <c r="P542" s="370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" t="s">
        <v>1850</v>
      </c>
      <c r="S542" s="24" t="s">
        <v>1929</v>
      </c>
      <c r="T542" s="370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1937</v>
      </c>
      <c r="D543" s="370" t="s">
        <v>1794</v>
      </c>
      <c r="E543" s="370" t="str">
        <v>12mm Clear Float Glass</v>
      </c>
      <c r="G543" s="370" t="s">
        <v>1868</v>
      </c>
      <c r="H543" s="370" t="s">
        <v>1868</v>
      </c>
      <c r="P543" s="370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" t="s">
        <v>1864</v>
      </c>
      <c r="S543" s="24" t="s">
        <v>1930</v>
      </c>
      <c r="T543" s="370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1848</v>
      </c>
      <c r="C544" s="370" t="s">
        <v>1937</v>
      </c>
      <c r="D544" s="370" t="s">
        <v>1816</v>
      </c>
      <c r="E544" s="370" t="str">
        <v>12mm Clear Tempered Glass Panel</v>
      </c>
      <c r="G544" s="370" t="s">
        <v>1869</v>
      </c>
      <c r="H544" s="370" t="s">
        <v>1869</v>
      </c>
      <c r="P544" s="370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" t="s">
        <v>1863</v>
      </c>
      <c r="S544" s="24" t="s">
        <v>1930</v>
      </c>
      <c r="T544" s="370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1937</v>
      </c>
      <c r="E545" s="370" t="str">
        <v>12mm Crystal Tempered Glass Panel</v>
      </c>
      <c r="G545" s="370" t="s">
        <v>1870</v>
      </c>
      <c r="H545" s="370" t="s">
        <v>1870</v>
      </c>
      <c r="P545" s="370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370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1937</v>
      </c>
      <c r="E546" s="370" t="str">
        <v>12mm Euro Grey Tempered Glass Panel</v>
      </c>
      <c r="G546" s="370" t="s">
        <v>1871</v>
      </c>
      <c r="H546" s="370" t="s">
        <v>1871</v>
      </c>
      <c r="P546" s="370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" t="str">
        <f>IF(Enginuity!$A$22="","",Enginuity!$A$22&amp;" Fix Window")</f>
        <v>▼ [Lattice] Fix Window</v>
      </c>
      <c r="T546" s="370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1937</v>
      </c>
      <c r="E547" s="370" t="str">
        <v>12mm Frosted Float Glass</v>
      </c>
      <c r="G547" s="370" t="s">
        <v>1872</v>
      </c>
      <c r="H547" s="370" t="s">
        <v>1872</v>
      </c>
      <c r="P547" s="370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370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1937</v>
      </c>
      <c r="E548" s="370" t="str">
        <v>12mm Green Tempered Glass Panel</v>
      </c>
      <c r="G548" s="370" t="s">
        <v>1873</v>
      </c>
      <c r="H548" s="370" t="s">
        <v>1873</v>
      </c>
      <c r="P548" s="370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370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1937</v>
      </c>
      <c r="E549" s="370" t="str">
        <v>12mm Grey Tempered Glass Panel</v>
      </c>
      <c r="G549" s="370" t="s">
        <v>1874</v>
      </c>
      <c r="H549" s="370" t="s">
        <v>1874</v>
      </c>
      <c r="P549" s="370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370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1937</v>
      </c>
      <c r="E550" s="370" t="str">
        <v>12mm Partition Board Gypsum 4ft x 8ft ★</v>
      </c>
      <c r="P550" s="370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370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1937</v>
      </c>
      <c r="P551" s="370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370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1937</v>
      </c>
      <c r="P552" s="370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370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1937</v>
      </c>
      <c r="P553" s="370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370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1937</v>
      </c>
      <c r="P554" s="370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370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1937</v>
      </c>
      <c r="P555" s="370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370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1937</v>
      </c>
      <c r="P556" s="370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370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1937</v>
      </c>
      <c r="P557" s="370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1834</v>
      </c>
      <c r="R557" s="1" t="str">
        <f>IF($T557="","","⬒ "&amp;$T557)</f>
        <v>⬒ Default</v>
      </c>
      <c r="T557" s="370" t="str">
        <f>IF(Enginuity!$A$20="","",Enginuity!$A$20)</f>
        <v>Default</v>
      </c>
      <c r="U557" s="1" t="s">
        <v>121</v>
      </c>
      <c r="V557" s="1">
        <f>IF(Enginuity!$B$9="","",Enginuity!$B$9)</f>
        <v>300</v>
      </c>
      <c r="W557" s="400">
        <f>IFERROR(INDEX(CostData!$Q$3:$Q$12,MATCH(TRIM(Enginuity!$A$20),CostData!$P$3:$P$12,0)),"")</f>
        <v>3.9</v>
      </c>
    </row>
    <row r="558" spans="1:23" x14ac:dyDescent="0.25">
      <c r="A558" s="275" t="s">
        <v>254</v>
      </c>
      <c r="C558" s="370" t="s">
        <v>1937</v>
      </c>
      <c r="P558" s="370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1937</v>
      </c>
      <c r="P559" s="370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1937</v>
      </c>
      <c r="P560" s="370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1937</v>
      </c>
      <c r="P561" s="370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1937</v>
      </c>
      <c r="P562" s="370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1937</v>
      </c>
      <c r="P563" s="370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370" t="str">
        <f>IF($S563="","",IFERROR(_xlfn.XLOOKUP($S563,CostData!$U$22:$U$1000,CostData!$T$22:$T$1000,""),""))</f>
        <v>Hinge</v>
      </c>
      <c r="R563" s="1" t="str">
        <f>IF($S563="","",$T563)</f>
        <v>Hung Friction Stay</v>
      </c>
      <c r="S563" s="419" t="s">
        <v>1881</v>
      </c>
      <c r="T563" s="370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1937</v>
      </c>
      <c r="P564" s="370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370" t="str">
        <f>IF($S564="","",IFERROR(_xlfn.XLOOKUP($S564,CostData!$U$22:$U$1000,CostData!$T$22:$T$1000,""),""))</f>
        <v>Hinge</v>
      </c>
      <c r="R564" s="1" t="str">
        <f>IF($S564="","",$T564)</f>
        <v>Casement Friction Stay</v>
      </c>
      <c r="S564" s="419" t="s">
        <v>1880</v>
      </c>
      <c r="T564" s="370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1524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1937</v>
      </c>
      <c r="P565" s="370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370" t="str">
        <f>IF($S565="","",IFERROR(_xlfn.XLOOKUP($S565,CostData!$U$22:$U$1000,CostData!$T$22:$T$1000,""),""))</f>
        <v>Handle</v>
      </c>
      <c r="R565" s="1" t="str">
        <f>IF($S565="","",$T565)</f>
        <v>Casement Handle</v>
      </c>
      <c r="S565" s="419" t="s">
        <v>113</v>
      </c>
      <c r="T565" s="370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1937</v>
      </c>
      <c r="P566" s="370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370" t="str">
        <f>IF($S566="","",IFERROR(_xlfn.XLOOKUP($S566,CostData!$U$22:$U$1000,CostData!$T$22:$T$1000,""),""))</f>
        <v>Black Tape</v>
      </c>
      <c r="R566" s="1" t="str">
        <f>IF($S566="","",$T566)</f>
        <v>2.5" x 2 Black Tape</v>
      </c>
      <c r="S566" s="419" t="s">
        <v>1899</v>
      </c>
      <c r="T566" s="370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68905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1937</v>
      </c>
      <c r="P567" s="370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370" t="str">
        <f>IF($S567="","",IFERROR(_xlfn.XLOOKUP($S567,CostData!$U$22:$U$1000,CostData!$T$22:$T$1000,""),""))</f>
        <v>Gasket</v>
      </c>
      <c r="R567" s="1" t="s">
        <v>1933</v>
      </c>
      <c r="S567" s="24" t="s">
        <v>1914</v>
      </c>
      <c r="T567" s="370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300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1937</v>
      </c>
      <c r="P568" s="370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370" t="str">
        <f>IF($S568="","",IFERROR(_xlfn.XLOOKUP($S568,CostData!$U$22:$U$1000,CostData!$T$22:$T$1000,""),""))</f>
        <v>Gasket</v>
      </c>
      <c r="R568" s="1" t="s">
        <v>1934</v>
      </c>
      <c r="S568" s="24" t="s">
        <v>1918</v>
      </c>
      <c r="T568" s="370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45760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1937</v>
      </c>
      <c r="P569" s="370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370" t="str">
        <f>IF($S569="","",IFERROR(_xlfn.XLOOKUP($S569,CostData!$U$22:$U$1000,CostData!$T$22:$T$1000,""),""))</f>
        <v>Gasket</v>
      </c>
      <c r="R569" s="1" t="s">
        <v>1932</v>
      </c>
      <c r="S569" s="24">
        <v>6154</v>
      </c>
      <c r="T569" s="370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45760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1937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399"/>
      <c r="Q570" s="399" t="str">
        <f>IF($S570="","",IFERROR(_xlfn.XLOOKUP($S570,CostData!$U$22:$U$1000,CostData!$T$22:$T$1000,""),""))</f>
        <v>Gasket</v>
      </c>
      <c r="R570" s="401" t="s">
        <v>1935</v>
      </c>
      <c r="S570" s="418">
        <v>6154</v>
      </c>
      <c r="T570" s="399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45690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24" t="s">
        <v>254</v>
      </c>
      <c r="B571" s="415" t="s">
        <v>1847</v>
      </c>
      <c r="C571" s="415" t="s">
        <v>1937</v>
      </c>
      <c r="D571" s="415" t="s">
        <v>1793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1859</v>
      </c>
      <c r="J571" s="415" t="s">
        <v>1860</v>
      </c>
      <c r="K571" s="415" t="s">
        <v>1861</v>
      </c>
      <c r="L571" s="415" t="s">
        <v>1862</v>
      </c>
      <c r="M571" s="425">
        <v>0.54649999999999999</v>
      </c>
      <c r="N571" s="415">
        <v>609.6</v>
      </c>
      <c r="O571" s="415"/>
      <c r="P571" s="415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09" t="s">
        <v>1813</v>
      </c>
      <c r="S571" s="417" t="s">
        <v>1928</v>
      </c>
      <c r="T571" s="415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71" s="426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1849</v>
      </c>
      <c r="C572" s="370" t="s">
        <v>1937</v>
      </c>
      <c r="D572" s="370" t="s">
        <v>1815</v>
      </c>
      <c r="E572" s="370" t="str">
        <v>12mm Bronze Tempered Glass Panel</v>
      </c>
      <c r="G572" s="370" t="s">
        <v>1867</v>
      </c>
      <c r="H572" s="370" t="s">
        <v>1867</v>
      </c>
      <c r="P572" s="370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" t="s">
        <v>1850</v>
      </c>
      <c r="S572" s="24" t="s">
        <v>1929</v>
      </c>
      <c r="T572" s="370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1937</v>
      </c>
      <c r="D573" s="370" t="s">
        <v>1794</v>
      </c>
      <c r="E573" s="370" t="str">
        <v>12mm Clear Float Glass</v>
      </c>
      <c r="G573" s="370" t="s">
        <v>1868</v>
      </c>
      <c r="H573" s="370" t="s">
        <v>1868</v>
      </c>
      <c r="P573" s="370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" t="s">
        <v>1864</v>
      </c>
      <c r="S573" s="24" t="s">
        <v>1930</v>
      </c>
      <c r="T573" s="370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1848</v>
      </c>
      <c r="C574" s="370" t="s">
        <v>1937</v>
      </c>
      <c r="D574" s="370" t="s">
        <v>1816</v>
      </c>
      <c r="E574" s="370" t="str">
        <v>12mm Clear Tempered Glass Panel</v>
      </c>
      <c r="G574" s="370" t="s">
        <v>1869</v>
      </c>
      <c r="H574" s="370" t="s">
        <v>1869</v>
      </c>
      <c r="P574" s="370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" t="s">
        <v>1863</v>
      </c>
      <c r="S574" s="24" t="s">
        <v>1930</v>
      </c>
      <c r="T574" s="370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1937</v>
      </c>
      <c r="E575" s="370" t="str">
        <v>12mm Crystal Tempered Glass Panel</v>
      </c>
      <c r="G575" s="370" t="s">
        <v>1870</v>
      </c>
      <c r="H575" s="370" t="s">
        <v>1870</v>
      </c>
      <c r="P575" s="370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370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1937</v>
      </c>
      <c r="E576" s="370" t="str">
        <v>12mm Euro Grey Tempered Glass Panel</v>
      </c>
      <c r="G576" s="370" t="s">
        <v>1871</v>
      </c>
      <c r="H576" s="370" t="s">
        <v>1871</v>
      </c>
      <c r="P576" s="370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" t="str">
        <f>IF(Enginuity!$A$22="","",Enginuity!$A$22&amp;" Fix Window")</f>
        <v>▼ [Lattice] Fix Window</v>
      </c>
      <c r="T576" s="370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1937</v>
      </c>
      <c r="E577" s="370" t="str">
        <v>12mm Frosted Float Glass</v>
      </c>
      <c r="G577" s="370" t="s">
        <v>1872</v>
      </c>
      <c r="H577" s="370" t="s">
        <v>1872</v>
      </c>
      <c r="P577" s="370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370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1937</v>
      </c>
      <c r="E578" s="370" t="str">
        <v>12mm Green Tempered Glass Panel</v>
      </c>
      <c r="G578" s="370" t="s">
        <v>1873</v>
      </c>
      <c r="H578" s="370" t="s">
        <v>1873</v>
      </c>
      <c r="P578" s="370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370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1937</v>
      </c>
      <c r="E579" s="370" t="str">
        <v>12mm Grey Tempered Glass Panel</v>
      </c>
      <c r="G579" s="370" t="s">
        <v>1874</v>
      </c>
      <c r="H579" s="370" t="s">
        <v>1874</v>
      </c>
      <c r="P579" s="370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370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1937</v>
      </c>
      <c r="E580" s="370" t="str">
        <v>12mm Partition Board Gypsum 4ft x 8ft ★</v>
      </c>
      <c r="P580" s="370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370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1937</v>
      </c>
      <c r="P581" s="370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370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1937</v>
      </c>
      <c r="P582" s="370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370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1937</v>
      </c>
      <c r="P583" s="370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370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1937</v>
      </c>
      <c r="P584" s="370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370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1937</v>
      </c>
      <c r="P585" s="370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370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1937</v>
      </c>
      <c r="P586" s="370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370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1937</v>
      </c>
      <c r="P587" s="370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1834</v>
      </c>
      <c r="R587" s="1" t="str">
        <f>IF($T587="","","⬒ "&amp;$T587)</f>
        <v>⬒ Default</v>
      </c>
      <c r="T587" s="370" t="str">
        <f>IF(Enginuity!$A$20="","",Enginuity!$A$20)</f>
        <v>Default</v>
      </c>
      <c r="U587" s="1" t="s">
        <v>121</v>
      </c>
      <c r="V587" s="1">
        <f>IF(Enginuity!$B$9="","",Enginuity!$B$9)</f>
        <v>300</v>
      </c>
      <c r="W587" s="400">
        <f>IFERROR(INDEX(CostData!$Q$3:$Q$12,MATCH(TRIM(Enginuity!$A$20),CostData!$P$3:$P$12,0)),"")</f>
        <v>3.9</v>
      </c>
    </row>
    <row r="588" spans="1:23" x14ac:dyDescent="0.25">
      <c r="A588" s="275" t="s">
        <v>254</v>
      </c>
      <c r="C588" s="370" t="s">
        <v>1937</v>
      </c>
      <c r="P588" s="370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1937</v>
      </c>
      <c r="P589" s="370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1937</v>
      </c>
      <c r="P590" s="370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1937</v>
      </c>
      <c r="P591" s="370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1937</v>
      </c>
      <c r="P592" s="370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1937</v>
      </c>
      <c r="P593" s="370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370" t="str">
        <f>IF($S593="","",IFERROR(_xlfn.XLOOKUP($S593,CostData!$U$22:$U$1000,CostData!$T$22:$T$1000,""),""))</f>
        <v>Hinge</v>
      </c>
      <c r="R593" s="1" t="str">
        <f>IF($S593="","",$T593)</f>
        <v>Hung Friction Stay</v>
      </c>
      <c r="S593" s="419" t="s">
        <v>1881</v>
      </c>
      <c r="T593" s="370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1937</v>
      </c>
      <c r="P594" s="370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370" t="str">
        <f>IF($S594="","",IFERROR(_xlfn.XLOOKUP($S594,CostData!$U$22:$U$1000,CostData!$T$22:$T$1000,""),""))</f>
        <v>Hinge</v>
      </c>
      <c r="R594" s="1" t="str">
        <f>IF($S594="","",$T594)</f>
        <v>Casement Friction Stay</v>
      </c>
      <c r="S594" s="419" t="s">
        <v>1880</v>
      </c>
      <c r="T594" s="370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1524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1937</v>
      </c>
      <c r="P595" s="370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370" t="str">
        <f>IF($S595="","",IFERROR(_xlfn.XLOOKUP($S595,CostData!$U$22:$U$1000,CostData!$T$22:$T$1000,""),""))</f>
        <v>Handle</v>
      </c>
      <c r="R595" s="1" t="str">
        <f>IF($S595="","",$T595)</f>
        <v>Casement Handle</v>
      </c>
      <c r="S595" s="419" t="s">
        <v>113</v>
      </c>
      <c r="T595" s="370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1937</v>
      </c>
      <c r="P596" s="370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370" t="str">
        <f>IF($S596="","",IFERROR(_xlfn.XLOOKUP($S596,CostData!$U$22:$U$1000,CostData!$T$22:$T$1000,""),""))</f>
        <v>Black Tape</v>
      </c>
      <c r="R596" s="1" t="str">
        <f>IF($S596="","",$T596)</f>
        <v>2.5" x 2 Black Tape</v>
      </c>
      <c r="S596" s="419" t="s">
        <v>1899</v>
      </c>
      <c r="T596" s="370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68905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1937</v>
      </c>
      <c r="P597" s="370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370" t="str">
        <f>IF($S597="","",IFERROR(_xlfn.XLOOKUP($S597,CostData!$U$22:$U$1000,CostData!$T$22:$T$1000,""),""))</f>
        <v>Gasket</v>
      </c>
      <c r="R597" s="1" t="s">
        <v>1933</v>
      </c>
      <c r="S597" s="24" t="s">
        <v>1914</v>
      </c>
      <c r="T597" s="370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300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1937</v>
      </c>
      <c r="P598" s="370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370" t="str">
        <f>IF($S598="","",IFERROR(_xlfn.XLOOKUP($S598,CostData!$U$22:$U$1000,CostData!$T$22:$T$1000,""),""))</f>
        <v>Gasket</v>
      </c>
      <c r="R598" s="1" t="s">
        <v>1934</v>
      </c>
      <c r="S598" s="24" t="s">
        <v>1918</v>
      </c>
      <c r="T598" s="370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45760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1937</v>
      </c>
      <c r="P599" s="370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370" t="str">
        <f>IF($S599="","",IFERROR(_xlfn.XLOOKUP($S599,CostData!$U$22:$U$1000,CostData!$T$22:$T$1000,""),""))</f>
        <v>Gasket</v>
      </c>
      <c r="R599" s="1" t="s">
        <v>1932</v>
      </c>
      <c r="S599" s="24">
        <v>6154</v>
      </c>
      <c r="T599" s="370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45760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1937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399"/>
      <c r="Q600" s="399" t="str">
        <f>IF($S600="","",IFERROR(_xlfn.XLOOKUP($S600,CostData!$U$22:$U$1000,CostData!$T$22:$T$1000,""),""))</f>
        <v>Gasket</v>
      </c>
      <c r="R600" s="401" t="s">
        <v>1935</v>
      </c>
      <c r="S600" s="418">
        <v>6154</v>
      </c>
      <c r="T600" s="399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45690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24" t="s">
        <v>254</v>
      </c>
      <c r="B601" s="415" t="s">
        <v>1847</v>
      </c>
      <c r="C601" s="415" t="s">
        <v>1937</v>
      </c>
      <c r="D601" s="415" t="s">
        <v>1793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1859</v>
      </c>
      <c r="J601" s="415" t="s">
        <v>1860</v>
      </c>
      <c r="K601" s="415" t="s">
        <v>1861</v>
      </c>
      <c r="L601" s="415" t="s">
        <v>1862</v>
      </c>
      <c r="M601" s="425">
        <v>0.54649999999999999</v>
      </c>
      <c r="N601" s="415">
        <v>609.6</v>
      </c>
      <c r="O601" s="415"/>
      <c r="P601" s="415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09" t="s">
        <v>1813</v>
      </c>
      <c r="S601" s="417" t="s">
        <v>1928</v>
      </c>
      <c r="T601" s="415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01" s="426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1849</v>
      </c>
      <c r="C602" s="370" t="s">
        <v>1937</v>
      </c>
      <c r="D602" s="370" t="s">
        <v>1815</v>
      </c>
      <c r="E602" s="370" t="str">
        <v>12mm Bronze Tempered Glass Panel</v>
      </c>
      <c r="G602" s="370" t="s">
        <v>1867</v>
      </c>
      <c r="H602" s="370" t="s">
        <v>1867</v>
      </c>
      <c r="P602" s="370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" t="s">
        <v>1850</v>
      </c>
      <c r="S602" s="24" t="s">
        <v>1929</v>
      </c>
      <c r="T602" s="370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1937</v>
      </c>
      <c r="D603" s="370" t="s">
        <v>1794</v>
      </c>
      <c r="E603" s="370" t="str">
        <v>12mm Clear Float Glass</v>
      </c>
      <c r="G603" s="370" t="s">
        <v>1868</v>
      </c>
      <c r="H603" s="370" t="s">
        <v>1868</v>
      </c>
      <c r="P603" s="370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" t="s">
        <v>1864</v>
      </c>
      <c r="S603" s="24" t="s">
        <v>1930</v>
      </c>
      <c r="T603" s="370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1848</v>
      </c>
      <c r="C604" s="370" t="s">
        <v>1937</v>
      </c>
      <c r="D604" s="370" t="s">
        <v>1816</v>
      </c>
      <c r="E604" s="370" t="str">
        <v>12mm Clear Tempered Glass Panel</v>
      </c>
      <c r="G604" s="370" t="s">
        <v>1869</v>
      </c>
      <c r="H604" s="370" t="s">
        <v>1869</v>
      </c>
      <c r="P604" s="370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" t="s">
        <v>1863</v>
      </c>
      <c r="S604" s="24" t="s">
        <v>1930</v>
      </c>
      <c r="T604" s="370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1937</v>
      </c>
      <c r="E605" s="370" t="str">
        <v>12mm Crystal Tempered Glass Panel</v>
      </c>
      <c r="G605" s="370" t="s">
        <v>1870</v>
      </c>
      <c r="H605" s="370" t="s">
        <v>1870</v>
      </c>
      <c r="P605" s="370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370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1937</v>
      </c>
      <c r="E606" s="370" t="str">
        <v>12mm Euro Grey Tempered Glass Panel</v>
      </c>
      <c r="G606" s="370" t="s">
        <v>1871</v>
      </c>
      <c r="H606" s="370" t="s">
        <v>1871</v>
      </c>
      <c r="P606" s="370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" t="str">
        <f>IF(Enginuity!$A$22="","",Enginuity!$A$22&amp;" Fix Window")</f>
        <v>▼ [Lattice] Fix Window</v>
      </c>
      <c r="T606" s="370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1937</v>
      </c>
      <c r="E607" s="370" t="str">
        <v>12mm Frosted Float Glass</v>
      </c>
      <c r="G607" s="370" t="s">
        <v>1872</v>
      </c>
      <c r="H607" s="370" t="s">
        <v>1872</v>
      </c>
      <c r="P607" s="370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370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1937</v>
      </c>
      <c r="E608" s="370" t="str">
        <v>12mm Green Tempered Glass Panel</v>
      </c>
      <c r="G608" s="370" t="s">
        <v>1873</v>
      </c>
      <c r="H608" s="370" t="s">
        <v>1873</v>
      </c>
      <c r="P608" s="370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370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1937</v>
      </c>
      <c r="E609" s="370" t="str">
        <v>12mm Grey Tempered Glass Panel</v>
      </c>
      <c r="G609" s="370" t="s">
        <v>1874</v>
      </c>
      <c r="H609" s="370" t="s">
        <v>1874</v>
      </c>
      <c r="P609" s="370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370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1937</v>
      </c>
      <c r="E610" s="370" t="str">
        <v>12mm Partition Board Gypsum 4ft x 8ft ★</v>
      </c>
      <c r="P610" s="370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370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1937</v>
      </c>
      <c r="P611" s="370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370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1937</v>
      </c>
      <c r="P612" s="370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370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1937</v>
      </c>
      <c r="P613" s="370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370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1937</v>
      </c>
      <c r="P614" s="370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370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1937</v>
      </c>
      <c r="P615" s="370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370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1937</v>
      </c>
      <c r="P616" s="370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370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1937</v>
      </c>
      <c r="P617" s="370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1834</v>
      </c>
      <c r="R617" s="1" t="str">
        <f>IF($T617="","","⬒ "&amp;$T617)</f>
        <v>⬒ Default</v>
      </c>
      <c r="T617" s="370" t="str">
        <f>IF(Enginuity!$A$20="","",Enginuity!$A$20)</f>
        <v>Default</v>
      </c>
      <c r="U617" s="1" t="s">
        <v>121</v>
      </c>
      <c r="V617" s="1">
        <f>IF(Enginuity!$B$9="","",Enginuity!$B$9)</f>
        <v>300</v>
      </c>
      <c r="W617" s="400">
        <f>IFERROR(INDEX(CostData!$Q$3:$Q$12,MATCH(TRIM(Enginuity!$A$20),CostData!$P$3:$P$12,0)),"")</f>
        <v>3.9</v>
      </c>
    </row>
    <row r="618" spans="1:23" x14ac:dyDescent="0.25">
      <c r="A618" s="275" t="s">
        <v>254</v>
      </c>
      <c r="C618" s="370" t="s">
        <v>1937</v>
      </c>
      <c r="P618" s="370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1937</v>
      </c>
      <c r="P619" s="370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1937</v>
      </c>
      <c r="P620" s="370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1937</v>
      </c>
      <c r="P621" s="370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1937</v>
      </c>
      <c r="P622" s="370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1937</v>
      </c>
      <c r="P623" s="370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370" t="str">
        <f>IF($S623="","",IFERROR(_xlfn.XLOOKUP($S623,CostData!$U$22:$U$1000,CostData!$T$22:$T$1000,""),""))</f>
        <v>Hinge</v>
      </c>
      <c r="R623" s="1" t="str">
        <f>IF($S623="","",$T623)</f>
        <v>Hung Friction Stay</v>
      </c>
      <c r="S623" s="419" t="s">
        <v>1881</v>
      </c>
      <c r="T623" s="370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1937</v>
      </c>
      <c r="P624" s="370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370" t="str">
        <f>IF($S624="","",IFERROR(_xlfn.XLOOKUP($S624,CostData!$U$22:$U$1000,CostData!$T$22:$T$1000,""),""))</f>
        <v>Hinge</v>
      </c>
      <c r="R624" s="1" t="str">
        <f>IF($S624="","",$T624)</f>
        <v>Casement Friction Stay</v>
      </c>
      <c r="S624" s="419" t="s">
        <v>1880</v>
      </c>
      <c r="T624" s="370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1524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1937</v>
      </c>
      <c r="P625" s="370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370" t="str">
        <f>IF($S625="","",IFERROR(_xlfn.XLOOKUP($S625,CostData!$U$22:$U$1000,CostData!$T$22:$T$1000,""),""))</f>
        <v>Handle</v>
      </c>
      <c r="R625" s="1" t="str">
        <f>IF($S625="","",$T625)</f>
        <v>Casement Handle</v>
      </c>
      <c r="S625" s="419" t="s">
        <v>113</v>
      </c>
      <c r="T625" s="370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1937</v>
      </c>
      <c r="P626" s="370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370" t="str">
        <f>IF($S626="","",IFERROR(_xlfn.XLOOKUP($S626,CostData!$U$22:$U$1000,CostData!$T$22:$T$1000,""),""))</f>
        <v>Black Tape</v>
      </c>
      <c r="R626" s="1" t="str">
        <f>IF($S626="","",$T626)</f>
        <v>2.5" x 2 Black Tape</v>
      </c>
      <c r="S626" s="419" t="s">
        <v>1899</v>
      </c>
      <c r="T626" s="370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68905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1937</v>
      </c>
      <c r="P627" s="370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370" t="str">
        <f>IF($S627="","",IFERROR(_xlfn.XLOOKUP($S627,CostData!$U$22:$U$1000,CostData!$T$22:$T$1000,""),""))</f>
        <v>Gasket</v>
      </c>
      <c r="R627" s="1" t="s">
        <v>1933</v>
      </c>
      <c r="S627" s="24" t="s">
        <v>1914</v>
      </c>
      <c r="T627" s="370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300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1937</v>
      </c>
      <c r="P628" s="370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370" t="str">
        <f>IF($S628="","",IFERROR(_xlfn.XLOOKUP($S628,CostData!$U$22:$U$1000,CostData!$T$22:$T$1000,""),""))</f>
        <v>Gasket</v>
      </c>
      <c r="R628" s="1" t="s">
        <v>1934</v>
      </c>
      <c r="S628" s="24" t="s">
        <v>1918</v>
      </c>
      <c r="T628" s="370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45760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1937</v>
      </c>
      <c r="P629" s="370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370" t="str">
        <f>IF($S629="","",IFERROR(_xlfn.XLOOKUP($S629,CostData!$U$22:$U$1000,CostData!$T$22:$T$1000,""),""))</f>
        <v>Gasket</v>
      </c>
      <c r="R629" s="1" t="s">
        <v>1932</v>
      </c>
      <c r="S629" s="24">
        <v>6154</v>
      </c>
      <c r="T629" s="370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45760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1937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 t="str">
        <f>IF($S630="","",IFERROR(_xlfn.XLOOKUP($S630,CostData!$U$22:$U$1000,CostData!$T$22:$T$1000,""),""))</f>
        <v>Gasket</v>
      </c>
      <c r="R630" s="401" t="s">
        <v>1935</v>
      </c>
      <c r="S630" s="418">
        <v>6154</v>
      </c>
      <c r="T630" s="399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45690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24" t="s">
        <v>254</v>
      </c>
      <c r="B631" s="415" t="s">
        <v>1847</v>
      </c>
      <c r="C631" s="415" t="s">
        <v>1937</v>
      </c>
      <c r="D631" s="415" t="s">
        <v>1793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1859</v>
      </c>
      <c r="J631" s="415" t="s">
        <v>1860</v>
      </c>
      <c r="K631" s="415" t="s">
        <v>1861</v>
      </c>
      <c r="L631" s="415" t="s">
        <v>1862</v>
      </c>
      <c r="M631" s="425">
        <v>0.54649999999999999</v>
      </c>
      <c r="N631" s="415">
        <v>609.6</v>
      </c>
      <c r="O631" s="415"/>
      <c r="P631" s="415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09" t="s">
        <v>1813</v>
      </c>
      <c r="S631" s="417" t="s">
        <v>1928</v>
      </c>
      <c r="T631" s="415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31" s="426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1849</v>
      </c>
      <c r="C632" s="370" t="s">
        <v>1937</v>
      </c>
      <c r="D632" s="370" t="s">
        <v>1815</v>
      </c>
      <c r="E632" s="370" t="str">
        <v>12mm Bronze Tempered Glass Panel</v>
      </c>
      <c r="G632" s="370" t="s">
        <v>1867</v>
      </c>
      <c r="H632" s="370" t="s">
        <v>1867</v>
      </c>
      <c r="P632" s="370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" t="s">
        <v>1850</v>
      </c>
      <c r="S632" s="24" t="s">
        <v>1929</v>
      </c>
      <c r="T632" s="370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1937</v>
      </c>
      <c r="D633" s="370" t="s">
        <v>1794</v>
      </c>
      <c r="E633" s="370" t="str">
        <v>12mm Clear Float Glass</v>
      </c>
      <c r="G633" s="370" t="s">
        <v>1868</v>
      </c>
      <c r="H633" s="370" t="s">
        <v>1868</v>
      </c>
      <c r="P633" s="370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" t="s">
        <v>1864</v>
      </c>
      <c r="S633" s="24" t="s">
        <v>1930</v>
      </c>
      <c r="T633" s="370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1848</v>
      </c>
      <c r="C634" s="370" t="s">
        <v>1937</v>
      </c>
      <c r="D634" s="370" t="s">
        <v>1816</v>
      </c>
      <c r="E634" s="370" t="str">
        <v>12mm Clear Tempered Glass Panel</v>
      </c>
      <c r="G634" s="370" t="s">
        <v>1869</v>
      </c>
      <c r="H634" s="370" t="s">
        <v>1869</v>
      </c>
      <c r="P634" s="370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" t="s">
        <v>1863</v>
      </c>
      <c r="S634" s="24" t="s">
        <v>1930</v>
      </c>
      <c r="T634" s="370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1937</v>
      </c>
      <c r="E635" s="370" t="str">
        <v>12mm Crystal Tempered Glass Panel</v>
      </c>
      <c r="G635" s="370" t="s">
        <v>1870</v>
      </c>
      <c r="H635" s="370" t="s">
        <v>1870</v>
      </c>
      <c r="P635" s="370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370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1937</v>
      </c>
      <c r="E636" s="370" t="str">
        <v>12mm Euro Grey Tempered Glass Panel</v>
      </c>
      <c r="G636" s="370" t="s">
        <v>1871</v>
      </c>
      <c r="H636" s="370" t="s">
        <v>1871</v>
      </c>
      <c r="P636" s="370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" t="str">
        <f>IF(Enginuity!$A$22="","",Enginuity!$A$22&amp;" Fix Window")</f>
        <v>▼ [Lattice] Fix Window</v>
      </c>
      <c r="T636" s="370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1937</v>
      </c>
      <c r="E637" s="370" t="str">
        <v>12mm Frosted Float Glass</v>
      </c>
      <c r="G637" s="370" t="s">
        <v>1872</v>
      </c>
      <c r="H637" s="370" t="s">
        <v>1872</v>
      </c>
      <c r="P637" s="370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370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1937</v>
      </c>
      <c r="E638" s="370" t="str">
        <v>12mm Green Tempered Glass Panel</v>
      </c>
      <c r="G638" s="370" t="s">
        <v>1873</v>
      </c>
      <c r="H638" s="370" t="s">
        <v>1873</v>
      </c>
      <c r="P638" s="370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370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1937</v>
      </c>
      <c r="E639" s="370" t="str">
        <v>12mm Grey Tempered Glass Panel</v>
      </c>
      <c r="G639" s="370" t="s">
        <v>1874</v>
      </c>
      <c r="H639" s="370" t="s">
        <v>1874</v>
      </c>
      <c r="P639" s="370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370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1937</v>
      </c>
      <c r="E640" s="370" t="str">
        <v>12mm Partition Board Gypsum 4ft x 8ft ★</v>
      </c>
      <c r="P640" s="370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370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1937</v>
      </c>
      <c r="P641" s="370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370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1937</v>
      </c>
      <c r="P642" s="370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370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1937</v>
      </c>
      <c r="P643" s="370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370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1937</v>
      </c>
      <c r="P644" s="370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370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1937</v>
      </c>
      <c r="P645" s="370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370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1937</v>
      </c>
      <c r="P646" s="370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370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1937</v>
      </c>
      <c r="P647" s="370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1834</v>
      </c>
      <c r="R647" s="1" t="str">
        <f>IF($T647="","","⬒ "&amp;$T647)</f>
        <v>⬒ Default</v>
      </c>
      <c r="T647" s="370" t="str">
        <f>IF(Enginuity!$A$20="","",Enginuity!$A$20)</f>
        <v>Default</v>
      </c>
      <c r="U647" s="1" t="s">
        <v>121</v>
      </c>
      <c r="V647" s="1">
        <f>IF(Enginuity!$B$9="","",Enginuity!$B$9)</f>
        <v>300</v>
      </c>
      <c r="W647" s="400">
        <f>IFERROR(INDEX(CostData!$Q$3:$Q$12,MATCH(TRIM(Enginuity!$A$20),CostData!$P$3:$P$12,0)),"")</f>
        <v>3.9</v>
      </c>
    </row>
    <row r="648" spans="1:23" x14ac:dyDescent="0.25">
      <c r="A648" s="275" t="s">
        <v>254</v>
      </c>
      <c r="C648" s="370" t="s">
        <v>1937</v>
      </c>
      <c r="P648" s="370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1937</v>
      </c>
      <c r="P649" s="370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1937</v>
      </c>
      <c r="P650" s="370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1937</v>
      </c>
      <c r="P651" s="370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1937</v>
      </c>
      <c r="P652" s="370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1937</v>
      </c>
      <c r="P653" s="370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370" t="str">
        <f>IF($S653="","",IFERROR(_xlfn.XLOOKUP($S653,CostData!$U$22:$U$1000,CostData!$T$22:$T$1000,""),""))</f>
        <v>Hinge</v>
      </c>
      <c r="R653" s="1" t="str">
        <f>IF($S653="","",$T653)</f>
        <v>Hung Friction Stay</v>
      </c>
      <c r="S653" s="419" t="s">
        <v>1881</v>
      </c>
      <c r="T653" s="370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1937</v>
      </c>
      <c r="P654" s="370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370" t="str">
        <f>IF($S654="","",IFERROR(_xlfn.XLOOKUP($S654,CostData!$U$22:$U$1000,CostData!$T$22:$T$1000,""),""))</f>
        <v>Hinge</v>
      </c>
      <c r="R654" s="1" t="str">
        <f>IF($S654="","",$T654)</f>
        <v>Casement Friction Stay</v>
      </c>
      <c r="S654" s="419" t="s">
        <v>1880</v>
      </c>
      <c r="T654" s="370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1524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1937</v>
      </c>
      <c r="P655" s="370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370" t="str">
        <f>IF($S655="","",IFERROR(_xlfn.XLOOKUP($S655,CostData!$U$22:$U$1000,CostData!$T$22:$T$1000,""),""))</f>
        <v>Handle</v>
      </c>
      <c r="R655" s="1" t="str">
        <f>IF($S655="","",$T655)</f>
        <v>Casement Handle</v>
      </c>
      <c r="S655" s="419" t="s">
        <v>113</v>
      </c>
      <c r="T655" s="370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1937</v>
      </c>
      <c r="P656" s="370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370" t="str">
        <f>IF($S656="","",IFERROR(_xlfn.XLOOKUP($S656,CostData!$U$22:$U$1000,CostData!$T$22:$T$1000,""),""))</f>
        <v>Black Tape</v>
      </c>
      <c r="R656" s="1" t="str">
        <f>IF($S656="","",$T656)</f>
        <v>2.5" x 2 Black Tape</v>
      </c>
      <c r="S656" s="419" t="s">
        <v>1899</v>
      </c>
      <c r="T656" s="370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68905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1937</v>
      </c>
      <c r="P657" s="370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370" t="str">
        <f>IF($S657="","",IFERROR(_xlfn.XLOOKUP($S657,CostData!$U$22:$U$1000,CostData!$T$22:$T$1000,""),""))</f>
        <v>Gasket</v>
      </c>
      <c r="R657" s="1" t="s">
        <v>1933</v>
      </c>
      <c r="S657" s="24" t="s">
        <v>1914</v>
      </c>
      <c r="T657" s="370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300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1937</v>
      </c>
      <c r="P658" s="370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370" t="str">
        <f>IF($S658="","",IFERROR(_xlfn.XLOOKUP($S658,CostData!$U$22:$U$1000,CostData!$T$22:$T$1000,""),""))</f>
        <v>Gasket</v>
      </c>
      <c r="R658" s="1" t="s">
        <v>1934</v>
      </c>
      <c r="S658" s="24" t="s">
        <v>1918</v>
      </c>
      <c r="T658" s="370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45760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1937</v>
      </c>
      <c r="P659" s="370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370" t="str">
        <f>IF($S659="","",IFERROR(_xlfn.XLOOKUP($S659,CostData!$U$22:$U$1000,CostData!$T$22:$T$1000,""),""))</f>
        <v>Gasket</v>
      </c>
      <c r="R659" s="1" t="s">
        <v>1932</v>
      </c>
      <c r="S659" s="24">
        <v>6154</v>
      </c>
      <c r="T659" s="370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45760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1937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399"/>
      <c r="Q660" s="399" t="str">
        <f>IF($S660="","",IFERROR(_xlfn.XLOOKUP($S660,CostData!$U$22:$U$1000,CostData!$T$22:$T$1000,""),""))</f>
        <v>Gasket</v>
      </c>
      <c r="R660" s="401" t="s">
        <v>1935</v>
      </c>
      <c r="S660" s="418">
        <v>6154</v>
      </c>
      <c r="T660" s="399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45690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24" t="s">
        <v>254</v>
      </c>
      <c r="B661" s="415" t="s">
        <v>1847</v>
      </c>
      <c r="C661" s="415" t="s">
        <v>1937</v>
      </c>
      <c r="D661" s="415" t="s">
        <v>1793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1859</v>
      </c>
      <c r="J661" s="415" t="s">
        <v>1860</v>
      </c>
      <c r="K661" s="415" t="s">
        <v>1861</v>
      </c>
      <c r="L661" s="415" t="s">
        <v>1862</v>
      </c>
      <c r="M661" s="425">
        <v>0.54649999999999999</v>
      </c>
      <c r="N661" s="415">
        <v>609.6</v>
      </c>
      <c r="O661" s="415"/>
      <c r="P661" s="415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09" t="s">
        <v>1813</v>
      </c>
      <c r="S661" s="417" t="s">
        <v>1928</v>
      </c>
      <c r="T661" s="415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61" s="426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1849</v>
      </c>
      <c r="C662" s="370" t="s">
        <v>1937</v>
      </c>
      <c r="D662" s="370" t="s">
        <v>1815</v>
      </c>
      <c r="E662" s="370" t="str">
        <v>12mm Bronze Tempered Glass Panel</v>
      </c>
      <c r="G662" s="370" t="s">
        <v>1867</v>
      </c>
      <c r="H662" s="370" t="s">
        <v>1867</v>
      </c>
      <c r="P662" s="370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" t="s">
        <v>1850</v>
      </c>
      <c r="S662" s="24" t="s">
        <v>1929</v>
      </c>
      <c r="T662" s="370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45760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1937</v>
      </c>
      <c r="D663" s="370" t="s">
        <v>1794</v>
      </c>
      <c r="E663" s="370" t="str">
        <v>12mm Clear Float Glass</v>
      </c>
      <c r="G663" s="370" t="s">
        <v>1868</v>
      </c>
      <c r="H663" s="370" t="s">
        <v>1868</v>
      </c>
      <c r="P663" s="370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" t="s">
        <v>1864</v>
      </c>
      <c r="S663" s="24" t="s">
        <v>1930</v>
      </c>
      <c r="T663" s="370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22845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1848</v>
      </c>
      <c r="C664" s="370" t="s">
        <v>1937</v>
      </c>
      <c r="D664" s="370" t="s">
        <v>1816</v>
      </c>
      <c r="E664" s="370" t="str">
        <v>12mm Clear Tempered Glass Panel</v>
      </c>
      <c r="G664" s="370" t="s">
        <v>1869</v>
      </c>
      <c r="H664" s="370" t="s">
        <v>1869</v>
      </c>
      <c r="P664" s="370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" t="s">
        <v>1863</v>
      </c>
      <c r="S664" s="24" t="s">
        <v>1930</v>
      </c>
      <c r="T664" s="370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1937</v>
      </c>
      <c r="E665" s="370" t="str">
        <v>12mm Crystal Tempered Glass Panel</v>
      </c>
      <c r="G665" s="370" t="s">
        <v>1870</v>
      </c>
      <c r="H665" s="370" t="s">
        <v>1870</v>
      </c>
      <c r="P665" s="370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370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1937</v>
      </c>
      <c r="E666" s="370" t="str">
        <v>12mm Euro Grey Tempered Glass Panel</v>
      </c>
      <c r="G666" s="370" t="s">
        <v>1871</v>
      </c>
      <c r="H666" s="370" t="s">
        <v>1871</v>
      </c>
      <c r="P666" s="370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" t="str">
        <f>IF(Enginuity!$A$22="","",Enginuity!$A$22&amp;" Fix Window")</f>
        <v>▼ [Lattice] Fix Window</v>
      </c>
      <c r="T666" s="370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1937</v>
      </c>
      <c r="E667" s="370" t="str">
        <v>12mm Frosted Float Glass</v>
      </c>
      <c r="G667" s="370" t="s">
        <v>1872</v>
      </c>
      <c r="H667" s="370" t="s">
        <v>1872</v>
      </c>
      <c r="P667" s="370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370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1937</v>
      </c>
      <c r="E668" s="370" t="str">
        <v>12mm Green Tempered Glass Panel</v>
      </c>
      <c r="G668" s="370" t="s">
        <v>1873</v>
      </c>
      <c r="H668" s="370" t="s">
        <v>1873</v>
      </c>
      <c r="P668" s="370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370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1937</v>
      </c>
      <c r="E669" s="370" t="str">
        <v>12mm Grey Tempered Glass Panel</v>
      </c>
      <c r="G669" s="370" t="s">
        <v>1874</v>
      </c>
      <c r="H669" s="370" t="s">
        <v>1874</v>
      </c>
      <c r="P669" s="370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370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1937</v>
      </c>
      <c r="E670" s="370" t="str">
        <v>12mm Partition Board Gypsum 4ft x 8ft ★</v>
      </c>
      <c r="P670" s="370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370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1937</v>
      </c>
      <c r="P671" s="370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370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1937</v>
      </c>
      <c r="P672" s="370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370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1937</v>
      </c>
      <c r="P673" s="370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370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1937</v>
      </c>
      <c r="P674" s="370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370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1937</v>
      </c>
      <c r="P675" s="370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370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1937</v>
      </c>
      <c r="P676" s="370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370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1937</v>
      </c>
      <c r="P677" s="370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1834</v>
      </c>
      <c r="R677" s="1" t="str">
        <f>IF($T677="","","⬒ "&amp;$T677)</f>
        <v>⬒ Default</v>
      </c>
      <c r="T677" s="370" t="str">
        <f>IF(Enginuity!$A$20="","",Enginuity!$A$20)</f>
        <v>Default</v>
      </c>
      <c r="U677" s="1" t="s">
        <v>121</v>
      </c>
      <c r="V677" s="1">
        <f>IF(Enginuity!$B$9="","",Enginuity!$B$9)</f>
        <v>300</v>
      </c>
      <c r="W677" s="400">
        <f>IFERROR(INDEX(CostData!$Q$3:$Q$12,MATCH(TRIM(Enginuity!$A$20),CostData!$P$3:$P$12,0)),"")</f>
        <v>3.9</v>
      </c>
    </row>
    <row r="678" spans="1:23" x14ac:dyDescent="0.25">
      <c r="A678" s="275" t="s">
        <v>254</v>
      </c>
      <c r="C678" s="370" t="s">
        <v>1937</v>
      </c>
      <c r="P678" s="370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1937</v>
      </c>
      <c r="P679" s="370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1937</v>
      </c>
      <c r="P680" s="370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1937</v>
      </c>
      <c r="P681" s="370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1937</v>
      </c>
      <c r="P682" s="370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1937</v>
      </c>
      <c r="P683" s="370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370" t="str">
        <f>IF($S683="","",IFERROR(_xlfn.XLOOKUP($S683,CostData!$U$22:$U$1000,CostData!$T$22:$T$1000,""),""))</f>
        <v>Hinge</v>
      </c>
      <c r="R683" s="1" t="str">
        <f>IF($S683="","",$T683)</f>
        <v>Hung Friction Stay</v>
      </c>
      <c r="S683" s="419" t="s">
        <v>1881</v>
      </c>
      <c r="T683" s="370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1937</v>
      </c>
      <c r="P684" s="370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370" t="str">
        <f>IF($S684="","",IFERROR(_xlfn.XLOOKUP($S684,CostData!$U$22:$U$1000,CostData!$T$22:$T$1000,""),""))</f>
        <v>Hinge</v>
      </c>
      <c r="R684" s="1" t="str">
        <f>IF($S684="","",$T684)</f>
        <v>Casement Friction Stay</v>
      </c>
      <c r="S684" s="419" t="s">
        <v>1880</v>
      </c>
      <c r="T684" s="370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1524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1937</v>
      </c>
      <c r="P685" s="370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370" t="str">
        <f>IF($S685="","",IFERROR(_xlfn.XLOOKUP($S685,CostData!$U$22:$U$1000,CostData!$T$22:$T$1000,""),""))</f>
        <v>Handle</v>
      </c>
      <c r="R685" s="1" t="str">
        <f>IF($S685="","",$T685)</f>
        <v>Casement Handle</v>
      </c>
      <c r="S685" s="419" t="s">
        <v>113</v>
      </c>
      <c r="T685" s="370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1524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1937</v>
      </c>
      <c r="P686" s="370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370" t="str">
        <f>IF($S686="","",IFERROR(_xlfn.XLOOKUP($S686,CostData!$U$22:$U$1000,CostData!$T$22:$T$1000,""),""))</f>
        <v>Black Tape</v>
      </c>
      <c r="R686" s="1" t="str">
        <f>IF($S686="","",$T686)</f>
        <v>2.5" x 2 Black Tape</v>
      </c>
      <c r="S686" s="419" t="s">
        <v>1899</v>
      </c>
      <c r="T686" s="370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68905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1937</v>
      </c>
      <c r="P687" s="370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370" t="str">
        <f>IF($S687="","",IFERROR(_xlfn.XLOOKUP($S687,CostData!$U$22:$U$1000,CostData!$T$22:$T$1000,""),""))</f>
        <v>Gasket</v>
      </c>
      <c r="R687" s="1" t="s">
        <v>1933</v>
      </c>
      <c r="S687" s="24" t="s">
        <v>1914</v>
      </c>
      <c r="T687" s="370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300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1937</v>
      </c>
      <c r="P688" s="370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370" t="str">
        <f>IF($S688="","",IFERROR(_xlfn.XLOOKUP($S688,CostData!$U$22:$U$1000,CostData!$T$22:$T$1000,""),""))</f>
        <v>Gasket</v>
      </c>
      <c r="R688" s="1" t="s">
        <v>1934</v>
      </c>
      <c r="S688" s="24" t="s">
        <v>1918</v>
      </c>
      <c r="T688" s="370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45760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1937</v>
      </c>
      <c r="P689" s="370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370" t="str">
        <f>IF($S689="","",IFERROR(_xlfn.XLOOKUP($S689,CostData!$U$22:$U$1000,CostData!$T$22:$T$1000,""),""))</f>
        <v>Gasket</v>
      </c>
      <c r="R689" s="1" t="s">
        <v>1932</v>
      </c>
      <c r="S689" s="24">
        <v>6154</v>
      </c>
      <c r="T689" s="370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45760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1937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 t="str">
        <f>IF($S690="","",IFERROR(_xlfn.XLOOKUP($S690,CostData!$U$22:$U$1000,CostData!$T$22:$T$1000,""),""))</f>
        <v>Gasket</v>
      </c>
      <c r="R690" s="401" t="s">
        <v>1935</v>
      </c>
      <c r="S690" s="418">
        <v>6154</v>
      </c>
      <c r="T690" s="399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45690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6" activePane="bottomLeft" state="frozen"/>
      <selection pane="bottomLeft" activeCell="E27" sqref="D27:E27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370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1790</v>
      </c>
      <c r="B1" s="370" t="s">
        <v>1694</v>
      </c>
    </row>
    <row r="2" spans="1:17" x14ac:dyDescent="0.25">
      <c r="A2" s="370" t="s">
        <v>1799</v>
      </c>
      <c r="B2" s="394">
        <v>22.1</v>
      </c>
      <c r="D2" s="1" t="s">
        <v>1822</v>
      </c>
      <c r="E2" s="1" t="s">
        <v>1823</v>
      </c>
      <c r="F2" s="300" t="s">
        <v>1824</v>
      </c>
      <c r="G2" s="300" t="s">
        <v>1825</v>
      </c>
      <c r="P2" s="1" t="s">
        <v>975</v>
      </c>
      <c r="Q2" s="1" t="s">
        <v>141</v>
      </c>
    </row>
    <row r="3" spans="1:17" x14ac:dyDescent="0.25">
      <c r="A3" s="370" t="s">
        <v>1800</v>
      </c>
      <c r="B3" s="394">
        <v>24.7</v>
      </c>
      <c r="D3" s="1" t="s">
        <v>1826</v>
      </c>
      <c r="E3" s="1" t="s">
        <v>1827</v>
      </c>
      <c r="F3" s="300" t="s">
        <v>1795</v>
      </c>
      <c r="G3" s="300" t="s">
        <v>1793</v>
      </c>
      <c r="P3" t="s">
        <v>977</v>
      </c>
      <c r="Q3" s="5">
        <v>3.9</v>
      </c>
    </row>
    <row r="4" spans="1:17" x14ac:dyDescent="0.25">
      <c r="A4" s="370" t="s">
        <v>1801</v>
      </c>
      <c r="B4" s="394">
        <v>19.899999999999999</v>
      </c>
      <c r="D4" s="1" t="s">
        <v>1828</v>
      </c>
      <c r="E4" s="1" t="s">
        <v>1829</v>
      </c>
      <c r="F4" s="300" t="s">
        <v>1793</v>
      </c>
      <c r="G4" s="300" t="s">
        <v>1795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Bronze Tempered Glass Panel</v>
      </c>
      <c r="Q4" s="5">
        <f>IF(P4="","",IFERROR(_xlfn.XLOOKUP(TRIM(SUBSTITUTE(P4," ★","")),CostData!$P$22:$P$1000,CostData!$Q$22:$Q$1000,""),""))</f>
        <v>21.18</v>
      </c>
    </row>
    <row r="5" spans="1:17" x14ac:dyDescent="0.25">
      <c r="A5" s="370" t="s">
        <v>1802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Float Glass</v>
      </c>
      <c r="Q5" s="5">
        <f>IF(P5="","",IFERROR(_xlfn.XLOOKUP(TRIM(SUBSTITUTE(P5," ★","")),CostData!$P$22:$P$1000,CostData!$Q$22:$Q$1000,""),""))</f>
        <v>5.7</v>
      </c>
    </row>
    <row r="6" spans="1:17" x14ac:dyDescent="0.25">
      <c r="A6" s="370" t="s">
        <v>1803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Tempered Glass Panel</v>
      </c>
      <c r="Q6" s="5">
        <f>IF(P6="","",IFERROR(_xlfn.XLOOKUP(TRIM(SUBSTITUTE(P6," ★","")),CostData!$P$22:$P$1000,CostData!$Q$22:$Q$1000,""),""))</f>
        <v>11</v>
      </c>
    </row>
    <row r="7" spans="1:17" x14ac:dyDescent="0.25">
      <c r="A7" s="370" t="s">
        <v>1804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Crystal Tempered Glass Panel</v>
      </c>
      <c r="Q7" s="5">
        <f>IF(P7="","",IFERROR(_xlfn.XLOOKUP(TRIM(SUBSTITUTE(P7," ★","")),CostData!$P$22:$P$1000,CostData!$Q$22:$Q$1000,""),""))</f>
        <v>29.04</v>
      </c>
    </row>
    <row r="8" spans="1:17" x14ac:dyDescent="0.25">
      <c r="A8" s="370" t="s">
        <v>1805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Euro Grey Tempered Glass Panel</v>
      </c>
      <c r="Q8" s="5">
        <f>IF(P8="","",IFERROR(_xlfn.XLOOKUP(TRIM(SUBSTITUTE(P8," ★","")),CostData!$P$22:$P$1000,CostData!$Q$22:$Q$1000,""),""))</f>
        <v>21.18</v>
      </c>
    </row>
    <row r="9" spans="1:17" x14ac:dyDescent="0.25">
      <c r="A9" s="370" t="s">
        <v>1806</v>
      </c>
      <c r="B9" s="2" t="s">
        <v>1828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Frosted Float Glass</v>
      </c>
      <c r="Q9" s="5">
        <f>IF(P9="","",IFERROR(_xlfn.XLOOKUP(TRIM(SUBSTITUTE(P9," ★","")),CostData!$P$22:$P$1000,CostData!$Q$22:$Q$1000,""),""))</f>
        <v>14</v>
      </c>
    </row>
    <row r="10" spans="1:17" x14ac:dyDescent="0.25">
      <c r="A10" s="370" t="s">
        <v>1817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Green Tempered Glass Panel</v>
      </c>
      <c r="Q10" s="5">
        <f>IF(P10="","",IFERROR(_xlfn.XLOOKUP(TRIM(SUBSTITUTE(P10," ★","")),CostData!$P$22:$P$1000,CostData!$Q$22:$Q$1000,""),""))</f>
        <v>15.73</v>
      </c>
    </row>
    <row r="11" spans="1:17" x14ac:dyDescent="0.25">
      <c r="A11" s="370" t="s">
        <v>1818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Grey Tempered Glass Panel</v>
      </c>
      <c r="Q11" s="5">
        <f>IF(P11="","",IFERROR(_xlfn.XLOOKUP(TRIM(SUBSTITUTE(P11," ★","")),CostData!$P$22:$P$1000,CostData!$Q$22:$Q$1000,""),""))</f>
        <v>21.18</v>
      </c>
    </row>
    <row r="12" spans="1:17" x14ac:dyDescent="0.25">
      <c r="A12" s="370" t="s">
        <v>1807</v>
      </c>
      <c r="B12" s="2" t="s">
        <v>1829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Partition Board Gypsum 4ft x 8ft ★</v>
      </c>
      <c r="Q12" s="5">
        <f>IF(P12="","",IFERROR(_xlfn.XLOOKUP(TRIM(SUBSTITUTE(P12," ★","")),CostData!$P$22:$P$1000,CostData!$Q$22:$Q$1000,""),""))</f>
        <v>2.25</v>
      </c>
    </row>
    <row r="13" spans="1:17" x14ac:dyDescent="0.25">
      <c r="A13" s="370" t="s">
        <v>1819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1820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1808</v>
      </c>
      <c r="B15" s="2" t="s">
        <v>1795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1809</v>
      </c>
      <c r="B16" s="2" t="s">
        <v>1795</v>
      </c>
    </row>
    <row r="17" spans="1:29" x14ac:dyDescent="0.25">
      <c r="A17" s="370" t="s">
        <v>1821</v>
      </c>
      <c r="B17" s="396">
        <v>0.05</v>
      </c>
    </row>
    <row r="18" spans="1:29" x14ac:dyDescent="0.25">
      <c r="A18" s="370" t="s">
        <v>1858</v>
      </c>
      <c r="B18" s="396">
        <v>0.03</v>
      </c>
    </row>
    <row r="19" spans="1:29" x14ac:dyDescent="0.25">
      <c r="A19" s="390" t="s">
        <v>1814</v>
      </c>
      <c r="O19" s="390" t="s">
        <v>1834</v>
      </c>
      <c r="S19" s="414" t="s">
        <v>1857</v>
      </c>
    </row>
    <row r="20" spans="1:29" x14ac:dyDescent="0.25">
      <c r="A20" s="392" t="s">
        <v>1810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1811</v>
      </c>
      <c r="C21" s="1" t="s">
        <v>1757</v>
      </c>
      <c r="D21" s="1" t="s">
        <v>1798</v>
      </c>
      <c r="E21" s="1" t="s">
        <v>1791</v>
      </c>
      <c r="F21" s="300" t="s">
        <v>1489</v>
      </c>
      <c r="G21" s="300" t="s">
        <v>1792</v>
      </c>
      <c r="H21" s="2" t="s">
        <v>1793</v>
      </c>
      <c r="I21" s="2" t="s">
        <v>1794</v>
      </c>
      <c r="J21" s="2" t="s">
        <v>1815</v>
      </c>
      <c r="K21" s="2" t="s">
        <v>1816</v>
      </c>
      <c r="L21" s="1" t="s">
        <v>1796</v>
      </c>
      <c r="M21" s="1" t="s">
        <v>1797</v>
      </c>
      <c r="O21" s="1" t="s">
        <v>175</v>
      </c>
      <c r="P21" s="4" t="s">
        <v>1791</v>
      </c>
      <c r="Q21" s="6" t="s">
        <v>141</v>
      </c>
      <c r="S21" s="1" t="s">
        <v>175</v>
      </c>
      <c r="T21" s="1" t="s">
        <v>1811</v>
      </c>
      <c r="U21" s="1" t="s">
        <v>1757</v>
      </c>
      <c r="V21" s="16" t="s">
        <v>1798</v>
      </c>
      <c r="W21" s="1" t="s">
        <v>1791</v>
      </c>
      <c r="X21" s="1" t="s">
        <v>1852</v>
      </c>
      <c r="Y21" s="1" t="s">
        <v>1853</v>
      </c>
      <c r="Z21" s="26" t="s">
        <v>1854</v>
      </c>
      <c r="AA21" s="1" t="s">
        <v>1855</v>
      </c>
      <c r="AB21" s="26" t="s">
        <v>1877</v>
      </c>
      <c r="AC21" s="26" t="s">
        <v>1856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1812</v>
      </c>
      <c r="C22" s="370" t="s">
        <v>1956</v>
      </c>
      <c r="D22" s="1" t="s">
        <v>1949</v>
      </c>
      <c r="E22" s="1" t="s">
        <v>1949</v>
      </c>
      <c r="F22" s="300">
        <v>0.186</v>
      </c>
      <c r="G22" s="300">
        <v>121.97</v>
      </c>
      <c r="H22" s="394">
        <f>IF($C22="","",ROUND((($B$2*$F22*($B$5/1000))/$B$6)*(1+IF($B$18="",0,$B$18)),2))</f>
        <v>1.29</v>
      </c>
      <c r="I22" s="394">
        <f>IF($C22="","",ROUND((($B$3*$F22*($B$5/1000))/$B$6)*(1+IF($B$18="",0,$B$18)),2))</f>
        <v>1.44</v>
      </c>
      <c r="J22" s="394">
        <f>IF(OR($C22="",$B$9="",$B$15=""),"",ROUND((((((IF($B$15="N/A",$B$2,$B$4))*$F22*($B$5/1000))+((($G22/1000)*($B$5/1000)*10.7639104)*(IF($B$9="Smooth",$B$10,IF($B$9="Sand",$B$11,0)))))*(1+$B$17))/$B$8)*(1+IF($B$18="",0,$B$18)),2))</f>
        <v>1.79</v>
      </c>
      <c r="K22" s="394">
        <f>IF(OR($C22="",$B$12="",$B$15=""),"",ROUND((((((IF($B$15="N/A",$B$2,$B$4))*$F22*($B$5/1000))+((($G22/1000)*($B$5/1000)*10.7639104)*(IF($B$12="Indoor",$B$13,IF($B$12="Outdoor",$B$14,0)))))*(1+$B$17))/$B$8)*(1+IF($B$18="",0,$B$18)),2))</f>
        <v>3.14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1891</v>
      </c>
      <c r="U22" s="370" t="s">
        <v>1892</v>
      </c>
      <c r="V22" s="16" t="s">
        <v>1891</v>
      </c>
      <c r="W22" s="370" t="s">
        <v>1893</v>
      </c>
      <c r="X22" s="370" t="s">
        <v>1894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1812</v>
      </c>
      <c r="C23" s="370" t="s">
        <v>1963</v>
      </c>
      <c r="D23" s="370" t="s">
        <v>1967</v>
      </c>
      <c r="E23" s="1" t="s">
        <v>1967</v>
      </c>
      <c r="F23" s="300">
        <v>0.28799999999999998</v>
      </c>
      <c r="G23" s="300">
        <v>126.05500000000001</v>
      </c>
      <c r="H23" s="394">
        <f t="shared" ref="H23:H35" si="0">IF($C23="","",ROUND((($B$2*$F23*($B$5/1000))/$B$6)*(1+IF($B$18="",0,$B$18)),2))</f>
        <v>2</v>
      </c>
      <c r="I23" s="394">
        <f t="shared" ref="I23:I35" si="1">IF($C23="","",ROUND((($B$3*$F23*($B$5/1000))/$B$6)*(1+IF($B$18="",0,$B$18)),2))</f>
        <v>2.23</v>
      </c>
      <c r="J23" s="394">
        <f t="shared" ref="J23:J35" si="2">IF(OR($C23="",$B$9="",$B$15=""),"",ROUND((((((IF($B$15="N/A",$B$2,$B$4))*$F23*($B$5/1000))+((($G23/1000)*($B$5/1000)*10.7639104)*(IF($B$9="Smooth",$B$10,IF($B$9="Sand",$B$11,0)))))*(1+$B$17))/$B$8)*(1+IF($B$18="",0,$B$18)),2))</f>
        <v>2.4900000000000002</v>
      </c>
      <c r="K23" s="394">
        <f t="shared" ref="K23:K35" si="3">IF(OR($C23="",$B$12="",$B$15=""),"",ROUND((((((IF($B$15="N/A",$B$2,$B$4))*$F23*($B$5/1000))+((($G23/1000)*($B$5/1000)*10.7639104)*(IF($B$12="Indoor",$B$13,IF($B$12="Outdoor",$B$14,0)))))*(1+$B$17))/$B$8)*(1+IF($B$18="",0,$B$18)),2))</f>
        <v>3.88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1891</v>
      </c>
      <c r="U23" s="370" t="s">
        <v>1895</v>
      </c>
      <c r="V23" s="16" t="s">
        <v>1891</v>
      </c>
      <c r="W23" s="370" t="s">
        <v>1896</v>
      </c>
      <c r="X23" s="370" t="s">
        <v>1894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1812</v>
      </c>
      <c r="C24" s="370" t="s">
        <v>1961</v>
      </c>
      <c r="D24" s="370" t="s">
        <v>1970</v>
      </c>
      <c r="E24" s="1" t="s">
        <v>1970</v>
      </c>
      <c r="F24" s="300">
        <v>0.191</v>
      </c>
      <c r="G24" s="300">
        <v>140.95400000000001</v>
      </c>
      <c r="H24" s="394">
        <f t="shared" si="0"/>
        <v>1.33</v>
      </c>
      <c r="I24" s="394">
        <f t="shared" si="1"/>
        <v>1.48</v>
      </c>
      <c r="J24" s="394">
        <f t="shared" si="2"/>
        <v>1.92</v>
      </c>
      <c r="K24" s="394">
        <f t="shared" si="3"/>
        <v>3.48</v>
      </c>
      <c r="O24" s="370">
        <v>3</v>
      </c>
      <c r="P24" t="s">
        <v>1000</v>
      </c>
      <c r="Q24" s="5">
        <v>5.6</v>
      </c>
      <c r="S24" s="1">
        <v>3</v>
      </c>
      <c r="T24" s="370" t="s">
        <v>1891</v>
      </c>
      <c r="U24" s="370" t="s">
        <v>1897</v>
      </c>
      <c r="V24" s="16" t="s">
        <v>1891</v>
      </c>
      <c r="W24" s="370" t="s">
        <v>1898</v>
      </c>
      <c r="X24" s="370" t="s">
        <v>1894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1812</v>
      </c>
      <c r="C25" s="370" t="s">
        <v>1943</v>
      </c>
      <c r="D25" s="1" t="s">
        <v>1949</v>
      </c>
      <c r="E25" s="1" t="s">
        <v>1949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1891</v>
      </c>
      <c r="U25" s="370" t="s">
        <v>1899</v>
      </c>
      <c r="V25" s="16" t="s">
        <v>1891</v>
      </c>
      <c r="W25" s="370" t="s">
        <v>1900</v>
      </c>
      <c r="X25" s="370" t="s">
        <v>1894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1812</v>
      </c>
      <c r="C26" s="370" t="s">
        <v>1931</v>
      </c>
      <c r="D26" s="1" t="s">
        <v>114</v>
      </c>
      <c r="E26" s="1" t="s">
        <v>114</v>
      </c>
      <c r="F26" s="300">
        <v>0.19600000000000001</v>
      </c>
      <c r="G26" s="300">
        <v>150.05000000000001</v>
      </c>
      <c r="H26" s="394">
        <f t="shared" si="0"/>
        <v>1.36</v>
      </c>
      <c r="I26" s="394">
        <f t="shared" si="1"/>
        <v>1.52</v>
      </c>
      <c r="J26" s="394">
        <f t="shared" si="2"/>
        <v>1.99</v>
      </c>
      <c r="K26" s="394">
        <f t="shared" si="3"/>
        <v>3.65</v>
      </c>
      <c r="O26" s="370">
        <v>5</v>
      </c>
      <c r="P26" t="s">
        <v>994</v>
      </c>
      <c r="Q26" s="5">
        <v>6.1</v>
      </c>
      <c r="S26" s="1">
        <v>5</v>
      </c>
      <c r="T26" s="370" t="s">
        <v>1891</v>
      </c>
      <c r="U26" s="370" t="s">
        <v>1901</v>
      </c>
      <c r="V26" s="16" t="s">
        <v>1891</v>
      </c>
      <c r="W26" s="370" t="s">
        <v>1902</v>
      </c>
      <c r="X26" s="370" t="s">
        <v>1894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1812</v>
      </c>
      <c r="C27" s="370" t="s">
        <v>1985</v>
      </c>
      <c r="D27" s="1" t="s">
        <v>1986</v>
      </c>
      <c r="E27" s="1" t="s">
        <v>1986</v>
      </c>
      <c r="F27" s="300">
        <v>0.36299999999999999</v>
      </c>
      <c r="G27" s="300">
        <v>152.4</v>
      </c>
      <c r="H27" s="394">
        <f t="shared" si="0"/>
        <v>2.52</v>
      </c>
      <c r="I27" s="394">
        <f t="shared" si="1"/>
        <v>2.81</v>
      </c>
      <c r="J27" s="394">
        <f t="shared" si="2"/>
        <v>3.1</v>
      </c>
      <c r="K27" s="394">
        <f t="shared" si="3"/>
        <v>4.79</v>
      </c>
      <c r="O27" s="370">
        <v>6</v>
      </c>
      <c r="P27" t="s">
        <v>1032</v>
      </c>
      <c r="Q27" s="5">
        <v>2.9</v>
      </c>
      <c r="S27" s="1">
        <v>6</v>
      </c>
      <c r="T27" s="370" t="s">
        <v>1891</v>
      </c>
      <c r="U27" s="370" t="s">
        <v>1903</v>
      </c>
      <c r="V27" s="16" t="s">
        <v>1891</v>
      </c>
      <c r="W27" s="370" t="s">
        <v>1904</v>
      </c>
      <c r="X27" s="370" t="s">
        <v>1894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1812</v>
      </c>
      <c r="C28" s="370" t="s">
        <v>1951</v>
      </c>
      <c r="D28" s="1" t="s">
        <v>1949</v>
      </c>
      <c r="E28" s="1" t="s">
        <v>1949</v>
      </c>
      <c r="F28" s="300">
        <v>0.28100000000000003</v>
      </c>
      <c r="G28" s="300">
        <v>166.19</v>
      </c>
      <c r="H28" s="394">
        <f t="shared" si="0"/>
        <v>1.95</v>
      </c>
      <c r="I28" s="394">
        <f t="shared" si="1"/>
        <v>2.1800000000000002</v>
      </c>
      <c r="J28" s="394">
        <f t="shared" si="2"/>
        <v>2.63</v>
      </c>
      <c r="K28" s="394">
        <f t="shared" si="3"/>
        <v>4.47</v>
      </c>
      <c r="O28" s="370">
        <v>7</v>
      </c>
      <c r="P28" t="s">
        <v>1334</v>
      </c>
      <c r="Q28" s="5">
        <v>4.25</v>
      </c>
      <c r="S28" s="1">
        <v>7</v>
      </c>
      <c r="T28" s="370" t="s">
        <v>1891</v>
      </c>
      <c r="U28" s="370" t="s">
        <v>1905</v>
      </c>
      <c r="V28" s="16" t="s">
        <v>1891</v>
      </c>
      <c r="W28" s="370" t="s">
        <v>1906</v>
      </c>
      <c r="X28" s="370" t="s">
        <v>1894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1812</v>
      </c>
      <c r="C29" s="370" t="s">
        <v>1965</v>
      </c>
      <c r="D29" s="370" t="s">
        <v>1973</v>
      </c>
      <c r="E29" s="1" t="s">
        <v>1973</v>
      </c>
      <c r="F29" s="300">
        <v>0.55500000000000005</v>
      </c>
      <c r="G29" s="300">
        <v>196.22200000000001</v>
      </c>
      <c r="H29" s="394">
        <f t="shared" si="0"/>
        <v>3.85</v>
      </c>
      <c r="I29" s="394">
        <f t="shared" si="1"/>
        <v>4.3</v>
      </c>
      <c r="J29" s="394">
        <f t="shared" si="2"/>
        <v>4.58</v>
      </c>
      <c r="K29" s="394">
        <f t="shared" si="3"/>
        <v>6.75</v>
      </c>
      <c r="O29" s="370">
        <v>8</v>
      </c>
      <c r="P29" t="s">
        <v>986</v>
      </c>
      <c r="Q29" s="5">
        <v>4.25</v>
      </c>
      <c r="S29" s="1">
        <v>8</v>
      </c>
      <c r="T29" s="370" t="s">
        <v>1876</v>
      </c>
      <c r="U29" s="370">
        <v>2566</v>
      </c>
      <c r="V29" s="16" t="s">
        <v>1884</v>
      </c>
      <c r="W29" s="370" t="s">
        <v>1885</v>
      </c>
      <c r="X29" s="370" t="s">
        <v>1883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1812</v>
      </c>
      <c r="C30" s="370" t="s">
        <v>1964</v>
      </c>
      <c r="D30" s="370" t="s">
        <v>1972</v>
      </c>
      <c r="E30" s="1" t="s">
        <v>1972</v>
      </c>
      <c r="F30" s="300">
        <v>1.3939999999999999</v>
      </c>
      <c r="G30" s="300">
        <v>199.65</v>
      </c>
      <c r="H30" s="394">
        <f t="shared" si="0"/>
        <v>9.67</v>
      </c>
      <c r="I30" s="394">
        <f t="shared" si="1"/>
        <v>10.81</v>
      </c>
      <c r="J30" s="394">
        <f t="shared" si="2"/>
        <v>10.130000000000001</v>
      </c>
      <c r="K30" s="394">
        <f t="shared" si="3"/>
        <v>12.34</v>
      </c>
      <c r="O30" s="370">
        <v>9</v>
      </c>
      <c r="P30" t="s">
        <v>1030</v>
      </c>
      <c r="Q30" s="5">
        <v>2.5</v>
      </c>
      <c r="S30" s="1">
        <v>9</v>
      </c>
      <c r="T30" s="370" t="s">
        <v>1876</v>
      </c>
      <c r="U30" s="370">
        <v>2152</v>
      </c>
      <c r="W30" s="370" t="s">
        <v>1908</v>
      </c>
      <c r="X30" s="370" t="s">
        <v>1883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1812</v>
      </c>
      <c r="C31" s="370" t="s">
        <v>1984</v>
      </c>
      <c r="D31" s="1" t="s">
        <v>1986</v>
      </c>
      <c r="E31" s="1" t="s">
        <v>1986</v>
      </c>
      <c r="F31" s="300">
        <v>0.48699999999999999</v>
      </c>
      <c r="G31" s="300">
        <v>203.2</v>
      </c>
      <c r="H31" s="394">
        <f t="shared" si="0"/>
        <v>3.38</v>
      </c>
      <c r="I31" s="394">
        <f t="shared" si="1"/>
        <v>3.78</v>
      </c>
      <c r="J31" s="394">
        <f t="shared" si="2"/>
        <v>4.16</v>
      </c>
      <c r="K31" s="394">
        <f t="shared" si="3"/>
        <v>6.41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1876</v>
      </c>
      <c r="U31" s="370">
        <v>6154</v>
      </c>
      <c r="V31" s="16" t="s">
        <v>1886</v>
      </c>
      <c r="W31" s="370" t="s">
        <v>1878</v>
      </c>
      <c r="X31" s="370" t="s">
        <v>1883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1812</v>
      </c>
      <c r="C32" s="370" t="s">
        <v>1928</v>
      </c>
      <c r="D32" s="1" t="s">
        <v>1813</v>
      </c>
      <c r="E32" s="1" t="s">
        <v>1813</v>
      </c>
      <c r="F32" s="300">
        <v>0.32800000000000001</v>
      </c>
      <c r="G32" s="300">
        <v>231.88</v>
      </c>
      <c r="H32" s="394">
        <f t="shared" si="0"/>
        <v>2.2799999999999998</v>
      </c>
      <c r="I32" s="394">
        <f t="shared" si="1"/>
        <v>2.54</v>
      </c>
      <c r="J32" s="394">
        <f t="shared" si="2"/>
        <v>3.24</v>
      </c>
      <c r="K32" s="394">
        <f t="shared" si="3"/>
        <v>5.81</v>
      </c>
      <c r="O32" s="370">
        <v>11</v>
      </c>
      <c r="P32" t="s">
        <v>991</v>
      </c>
      <c r="Q32" s="5">
        <v>5.4</v>
      </c>
      <c r="S32" s="1">
        <v>11</v>
      </c>
      <c r="T32" s="370" t="s">
        <v>1876</v>
      </c>
      <c r="U32" s="370" t="s">
        <v>1909</v>
      </c>
      <c r="V32" s="16" t="s">
        <v>1886</v>
      </c>
      <c r="W32" s="370" t="s">
        <v>1910</v>
      </c>
      <c r="X32" s="370" t="s">
        <v>1911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1812</v>
      </c>
      <c r="C33" s="370" t="s">
        <v>1957</v>
      </c>
      <c r="D33" s="1" t="s">
        <v>1949</v>
      </c>
      <c r="E33" s="1" t="s">
        <v>1949</v>
      </c>
      <c r="F33" s="300">
        <v>0.69499999999999995</v>
      </c>
      <c r="G33" s="300">
        <v>236.92</v>
      </c>
      <c r="H33" s="394">
        <f t="shared" si="0"/>
        <v>4.82</v>
      </c>
      <c r="I33" s="394">
        <f t="shared" si="1"/>
        <v>5.39</v>
      </c>
      <c r="J33" s="394">
        <f t="shared" si="2"/>
        <v>5.69</v>
      </c>
      <c r="K33" s="394">
        <f t="shared" si="3"/>
        <v>8.31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1876</v>
      </c>
      <c r="U33" s="370">
        <v>3320</v>
      </c>
      <c r="V33" s="16" t="s">
        <v>1912</v>
      </c>
      <c r="W33" s="370" t="s">
        <v>1889</v>
      </c>
      <c r="X33" s="370" t="s">
        <v>1883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1812</v>
      </c>
      <c r="C34" s="370" t="s">
        <v>1966</v>
      </c>
      <c r="D34" s="370" t="s">
        <v>1968</v>
      </c>
      <c r="E34" s="1" t="s">
        <v>1968</v>
      </c>
      <c r="F34" s="300">
        <v>0.44500000000000001</v>
      </c>
      <c r="G34" s="300">
        <v>243.89500000000001</v>
      </c>
      <c r="H34" s="394">
        <f t="shared" si="0"/>
        <v>3.09</v>
      </c>
      <c r="I34" s="394">
        <f t="shared" si="1"/>
        <v>3.45</v>
      </c>
      <c r="J34" s="394">
        <f t="shared" si="2"/>
        <v>4.07</v>
      </c>
      <c r="K34" s="394">
        <f t="shared" si="3"/>
        <v>6.77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1876</v>
      </c>
      <c r="U34" s="370">
        <v>1058</v>
      </c>
      <c r="V34" s="16" t="s">
        <v>1913</v>
      </c>
      <c r="W34" s="370" t="s">
        <v>1890</v>
      </c>
      <c r="X34" s="370" t="s">
        <v>1883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1812</v>
      </c>
      <c r="C35" s="370" t="s">
        <v>1929</v>
      </c>
      <c r="D35" s="1" t="s">
        <v>1850</v>
      </c>
      <c r="E35" s="1" t="s">
        <v>1850</v>
      </c>
      <c r="F35" s="300">
        <v>0.502</v>
      </c>
      <c r="G35" s="300">
        <v>249.38</v>
      </c>
      <c r="H35" s="394">
        <f t="shared" si="0"/>
        <v>3.48</v>
      </c>
      <c r="I35" s="394">
        <f t="shared" si="1"/>
        <v>3.89</v>
      </c>
      <c r="J35" s="394">
        <f t="shared" si="2"/>
        <v>4.47</v>
      </c>
      <c r="K35" s="394">
        <f t="shared" si="3"/>
        <v>7.23</v>
      </c>
      <c r="O35" s="370">
        <v>14</v>
      </c>
      <c r="P35" t="s">
        <v>1348</v>
      </c>
      <c r="Q35" s="5">
        <v>10</v>
      </c>
      <c r="S35" s="1">
        <v>14</v>
      </c>
      <c r="T35" s="370" t="s">
        <v>1876</v>
      </c>
      <c r="U35" s="370" t="s">
        <v>1914</v>
      </c>
      <c r="V35" s="16" t="s">
        <v>1915</v>
      </c>
      <c r="W35" s="370" t="s">
        <v>1916</v>
      </c>
      <c r="X35" s="370" t="s">
        <v>1917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1812</v>
      </c>
      <c r="C36" s="370" t="s">
        <v>1958</v>
      </c>
      <c r="D36" s="1" t="s">
        <v>1949</v>
      </c>
      <c r="E36" s="1" t="s">
        <v>1949</v>
      </c>
      <c r="F36" s="300">
        <v>0.77900000000000003</v>
      </c>
      <c r="G36" s="300">
        <v>265.33</v>
      </c>
      <c r="H36" s="394">
        <f t="shared" ref="H36:H86" si="5">IF($C36="","",ROUND((($B$2*$F36*($B$5/1000))/$B$6)*(1+IF($B$18="",0,$B$18)),2))</f>
        <v>5.4</v>
      </c>
      <c r="I36" s="394">
        <f t="shared" ref="I36:I86" si="6">IF($C36="","",ROUND((($B$3*$F36*($B$5/1000))/$B$6)*(1+IF($B$18="",0,$B$18)),2))</f>
        <v>6.04</v>
      </c>
      <c r="J36" s="394">
        <f t="shared" ref="J36:J86" si="7">IF(OR($C36="",$B$9="",$B$15=""),"",ROUND((((((IF($B$15="N/A",$B$2,$B$4))*$F36*($B$5/1000))+((($G36/1000)*($B$5/1000)*10.7639104)*(IF($B$9="Smooth",$B$10,IF($B$9="Sand",$B$11,0)))))*(1+$B$17))/$B$8)*(1+IF($B$18="",0,$B$18)),2))</f>
        <v>6.38</v>
      </c>
      <c r="K36" s="394">
        <f t="shared" ref="K36:K86" si="8">IF(OR($C36="",$B$12="",$B$15=""),"",ROUND((((((IF($B$15="N/A",$B$2,$B$4))*$F36*($B$5/1000))+((($G36/1000)*($B$5/1000)*10.7639104)*(IF($B$12="Indoor",$B$13,IF($B$12="Outdoor",$B$14,0)))))*(1+$B$17))/$B$8)*(1+IF($B$18="",0,$B$18)),2))</f>
        <v>9.31</v>
      </c>
      <c r="O36" s="370">
        <v>15</v>
      </c>
      <c r="P36" t="s">
        <v>1349</v>
      </c>
      <c r="Q36" s="5">
        <v>12</v>
      </c>
      <c r="S36" s="1">
        <v>15</v>
      </c>
      <c r="T36" s="370" t="s">
        <v>1876</v>
      </c>
      <c r="U36" s="370" t="s">
        <v>1918</v>
      </c>
      <c r="V36" s="16" t="s">
        <v>1915</v>
      </c>
      <c r="W36" s="370" t="s">
        <v>1919</v>
      </c>
      <c r="X36" s="370" t="s">
        <v>1917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1812</v>
      </c>
      <c r="C37" s="370" t="s">
        <v>1930</v>
      </c>
      <c r="D37" s="1" t="s">
        <v>1851</v>
      </c>
      <c r="E37" s="1" t="s">
        <v>1851</v>
      </c>
      <c r="F37" s="300">
        <v>0.52500000000000002</v>
      </c>
      <c r="G37" s="300">
        <v>266.07</v>
      </c>
      <c r="H37" s="394">
        <f t="shared" si="5"/>
        <v>3.64</v>
      </c>
      <c r="I37" s="394">
        <f t="shared" si="6"/>
        <v>4.07</v>
      </c>
      <c r="J37" s="394">
        <f t="shared" si="7"/>
        <v>4.7</v>
      </c>
      <c r="K37" s="394">
        <f t="shared" si="8"/>
        <v>7.65</v>
      </c>
      <c r="O37" s="370">
        <v>16</v>
      </c>
      <c r="P37" t="s">
        <v>989</v>
      </c>
      <c r="Q37" s="5">
        <v>2.9</v>
      </c>
      <c r="S37" s="1">
        <v>16</v>
      </c>
      <c r="T37" s="370" t="s">
        <v>1876</v>
      </c>
      <c r="U37" s="370" t="s">
        <v>1920</v>
      </c>
      <c r="W37" s="370" t="s">
        <v>1921</v>
      </c>
      <c r="X37" s="370" t="s">
        <v>1883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1812</v>
      </c>
      <c r="C38" s="370" t="s">
        <v>1944</v>
      </c>
      <c r="D38" s="1" t="s">
        <v>1949</v>
      </c>
      <c r="E38" s="1" t="s">
        <v>1949</v>
      </c>
      <c r="F38" s="300">
        <v>0.874</v>
      </c>
      <c r="G38" s="300">
        <v>279.69</v>
      </c>
      <c r="H38" s="394">
        <f t="shared" si="5"/>
        <v>6.06</v>
      </c>
      <c r="I38" s="394">
        <f t="shared" si="6"/>
        <v>6.78</v>
      </c>
      <c r="J38" s="394">
        <f t="shared" si="7"/>
        <v>7.07</v>
      </c>
      <c r="K38" s="394">
        <f t="shared" si="8"/>
        <v>10.17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1876</v>
      </c>
      <c r="U38" s="370" t="s">
        <v>1887</v>
      </c>
      <c r="V38" s="16" t="s">
        <v>1922</v>
      </c>
      <c r="W38" s="370" t="s">
        <v>1888</v>
      </c>
      <c r="X38" s="370" t="s">
        <v>1883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1812</v>
      </c>
      <c r="C39" s="370" t="s">
        <v>1955</v>
      </c>
      <c r="D39" s="1" t="s">
        <v>1949</v>
      </c>
      <c r="E39" s="1" t="s">
        <v>1949</v>
      </c>
      <c r="F39" s="300">
        <v>0.45400000000000001</v>
      </c>
      <c r="G39" s="300">
        <v>289.99</v>
      </c>
      <c r="H39" s="394">
        <f t="shared" si="5"/>
        <v>3.15</v>
      </c>
      <c r="I39" s="394">
        <f t="shared" si="6"/>
        <v>3.52</v>
      </c>
      <c r="J39" s="394">
        <f t="shared" si="7"/>
        <v>4.34</v>
      </c>
      <c r="K39" s="394">
        <f t="shared" si="8"/>
        <v>7.56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1812</v>
      </c>
      <c r="C40" s="370" t="s">
        <v>1945</v>
      </c>
      <c r="D40" s="1" t="s">
        <v>1949</v>
      </c>
      <c r="E40" s="1" t="s">
        <v>1949</v>
      </c>
      <c r="F40" s="300">
        <v>0.98</v>
      </c>
      <c r="G40" s="300">
        <v>318.08</v>
      </c>
      <c r="H40" s="394">
        <f t="shared" si="5"/>
        <v>6.8</v>
      </c>
      <c r="I40" s="394">
        <f t="shared" si="6"/>
        <v>7.6</v>
      </c>
      <c r="J40" s="394">
        <f t="shared" si="7"/>
        <v>7.95</v>
      </c>
      <c r="K40" s="394">
        <f t="shared" si="8"/>
        <v>11.47</v>
      </c>
      <c r="O40" s="370">
        <v>19</v>
      </c>
      <c r="P40" t="s">
        <v>995</v>
      </c>
      <c r="Q40" s="5">
        <v>7.7</v>
      </c>
      <c r="S40" s="1">
        <v>19</v>
      </c>
      <c r="T40" s="1" t="s">
        <v>1879</v>
      </c>
      <c r="U40" s="1" t="s">
        <v>1880</v>
      </c>
      <c r="V40" s="16" t="s">
        <v>1880</v>
      </c>
      <c r="W40" s="1" t="s">
        <v>1880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1812</v>
      </c>
      <c r="C41" s="370" t="s">
        <v>1962</v>
      </c>
      <c r="D41" s="370" t="s">
        <v>1971</v>
      </c>
      <c r="E41" s="1" t="s">
        <v>1971</v>
      </c>
      <c r="F41" s="300">
        <v>1.2849999999999999</v>
      </c>
      <c r="G41" s="300">
        <v>322.88600000000002</v>
      </c>
      <c r="H41" s="394">
        <f t="shared" si="5"/>
        <v>8.92</v>
      </c>
      <c r="I41" s="394">
        <f t="shared" si="6"/>
        <v>9.9600000000000009</v>
      </c>
      <c r="J41" s="394">
        <f t="shared" si="7"/>
        <v>9.98</v>
      </c>
      <c r="K41" s="394">
        <f t="shared" si="8"/>
        <v>13.56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1879</v>
      </c>
      <c r="U41" s="1" t="s">
        <v>1881</v>
      </c>
      <c r="V41" s="16" t="s">
        <v>1881</v>
      </c>
      <c r="W41" s="1" t="s">
        <v>1882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1812</v>
      </c>
      <c r="C42" s="370" t="s">
        <v>1952</v>
      </c>
      <c r="D42" s="1" t="s">
        <v>1949</v>
      </c>
      <c r="E42" s="1" t="s">
        <v>1949</v>
      </c>
      <c r="F42" s="300">
        <v>1.113</v>
      </c>
      <c r="G42" s="300">
        <v>330.49</v>
      </c>
      <c r="H42" s="394">
        <f t="shared" si="5"/>
        <v>7.72</v>
      </c>
      <c r="I42" s="394">
        <f t="shared" si="6"/>
        <v>8.6300000000000008</v>
      </c>
      <c r="J42" s="394">
        <f t="shared" si="7"/>
        <v>8.8800000000000008</v>
      </c>
      <c r="K42" s="394">
        <f t="shared" si="8"/>
        <v>12.54</v>
      </c>
      <c r="O42" s="370">
        <v>21</v>
      </c>
      <c r="P42" t="s">
        <v>1033</v>
      </c>
      <c r="Q42" s="5">
        <v>3.7</v>
      </c>
      <c r="S42" s="1">
        <v>21</v>
      </c>
      <c r="T42" s="370" t="s">
        <v>1923</v>
      </c>
      <c r="U42" s="1" t="s">
        <v>1924</v>
      </c>
      <c r="V42" s="16" t="s">
        <v>1925</v>
      </c>
      <c r="W42" s="370" t="s">
        <v>1926</v>
      </c>
      <c r="X42" s="370" t="s">
        <v>1927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1812</v>
      </c>
      <c r="C43" s="370" t="s">
        <v>1959</v>
      </c>
      <c r="D43" s="1" t="s">
        <v>1949</v>
      </c>
      <c r="E43" s="1" t="s">
        <v>1949</v>
      </c>
      <c r="F43" s="300">
        <v>0.51700000000000002</v>
      </c>
      <c r="G43" s="300">
        <v>333.56</v>
      </c>
      <c r="H43" s="394">
        <f t="shared" si="5"/>
        <v>3.59</v>
      </c>
      <c r="I43" s="394">
        <f t="shared" si="6"/>
        <v>4.01</v>
      </c>
      <c r="J43" s="394">
        <f t="shared" si="7"/>
        <v>4.96</v>
      </c>
      <c r="K43" s="394">
        <f t="shared" si="8"/>
        <v>8.66</v>
      </c>
      <c r="O43" s="370">
        <v>22</v>
      </c>
      <c r="P43" t="s">
        <v>1021</v>
      </c>
      <c r="Q43" s="5">
        <v>9</v>
      </c>
      <c r="S43" s="1" t="str">
        <v/>
      </c>
      <c r="AC43" s="370" t="str">
        <f t="shared" si="4"/>
        <v/>
      </c>
    </row>
    <row r="44" spans="1:29" x14ac:dyDescent="0.25">
      <c r="A44" s="370">
        <v>23</v>
      </c>
      <c r="B44" s="370" t="s">
        <v>1812</v>
      </c>
      <c r="C44" s="370" t="s">
        <v>1946</v>
      </c>
      <c r="D44" s="1" t="s">
        <v>1949</v>
      </c>
      <c r="E44" s="1" t="s">
        <v>1949</v>
      </c>
      <c r="F44" s="300">
        <v>1.35</v>
      </c>
      <c r="G44" s="300">
        <v>343.85</v>
      </c>
      <c r="H44" s="394">
        <f t="shared" si="5"/>
        <v>9.3699999999999992</v>
      </c>
      <c r="I44" s="394">
        <f t="shared" si="6"/>
        <v>10.47</v>
      </c>
      <c r="J44" s="394">
        <f t="shared" si="7"/>
        <v>10.51</v>
      </c>
      <c r="K44" s="394">
        <f t="shared" si="8"/>
        <v>14.32</v>
      </c>
      <c r="O44" s="370">
        <v>23</v>
      </c>
      <c r="P44" t="s">
        <v>1023</v>
      </c>
      <c r="Q44" s="5">
        <v>10.6</v>
      </c>
      <c r="S44" s="1" t="str">
        <v/>
      </c>
      <c r="AC44" s="370" t="str">
        <f t="shared" si="4"/>
        <v/>
      </c>
    </row>
    <row r="45" spans="1:29" x14ac:dyDescent="0.25">
      <c r="A45" s="370">
        <v>24</v>
      </c>
      <c r="B45" s="370" t="s">
        <v>1812</v>
      </c>
      <c r="C45" s="370" t="s">
        <v>1953</v>
      </c>
      <c r="D45" s="1" t="s">
        <v>1949</v>
      </c>
      <c r="E45" s="1" t="s">
        <v>1949</v>
      </c>
      <c r="F45" s="300">
        <v>1.2250000000000001</v>
      </c>
      <c r="G45" s="300">
        <v>368.88</v>
      </c>
      <c r="H45" s="394">
        <f t="shared" si="5"/>
        <v>8.5</v>
      </c>
      <c r="I45" s="394">
        <f t="shared" si="6"/>
        <v>9.5</v>
      </c>
      <c r="J45" s="394">
        <f t="shared" si="7"/>
        <v>9.8000000000000007</v>
      </c>
      <c r="K45" s="394">
        <f t="shared" si="8"/>
        <v>13.89</v>
      </c>
      <c r="O45" s="370">
        <v>24</v>
      </c>
      <c r="P45" t="s">
        <v>1335</v>
      </c>
      <c r="Q45" s="5">
        <v>4.75</v>
      </c>
      <c r="S45" s="1" t="str">
        <v/>
      </c>
      <c r="T45" s="1"/>
      <c r="U45" s="1"/>
      <c r="W45" s="1"/>
      <c r="X45" s="1"/>
      <c r="Y45" s="1"/>
      <c r="Z45" s="26"/>
      <c r="AB45" s="26"/>
      <c r="AC45" s="370" t="str">
        <f t="shared" si="4"/>
        <v/>
      </c>
    </row>
    <row r="46" spans="1:29" x14ac:dyDescent="0.25">
      <c r="A46" s="370">
        <v>25</v>
      </c>
      <c r="B46" s="370" t="s">
        <v>1812</v>
      </c>
      <c r="C46" s="370" t="s">
        <v>1948</v>
      </c>
      <c r="D46" s="1" t="s">
        <v>1949</v>
      </c>
      <c r="E46" s="1" t="s">
        <v>1949</v>
      </c>
      <c r="F46" s="300">
        <v>1.508</v>
      </c>
      <c r="G46" s="300">
        <v>381.58</v>
      </c>
      <c r="H46" s="394">
        <f t="shared" si="5"/>
        <v>10.46</v>
      </c>
      <c r="I46" s="394">
        <f t="shared" si="6"/>
        <v>11.69</v>
      </c>
      <c r="J46" s="394">
        <f t="shared" si="7"/>
        <v>11.73</v>
      </c>
      <c r="K46" s="394">
        <f t="shared" si="8"/>
        <v>15.95</v>
      </c>
      <c r="O46" s="370">
        <v>25</v>
      </c>
      <c r="P46" t="s">
        <v>1007</v>
      </c>
      <c r="Q46" s="5">
        <v>8</v>
      </c>
      <c r="S46" s="1" t="str">
        <v/>
      </c>
      <c r="T46" s="1"/>
      <c r="U46" s="1"/>
      <c r="W46" s="1"/>
      <c r="X46" s="1"/>
      <c r="Y46" s="1"/>
      <c r="Z46" s="26"/>
      <c r="AB46" s="26"/>
      <c r="AC46" s="370" t="str">
        <f t="shared" si="4"/>
        <v/>
      </c>
    </row>
    <row r="47" spans="1:29" x14ac:dyDescent="0.25">
      <c r="A47" s="370">
        <v>26</v>
      </c>
      <c r="B47" s="370" t="s">
        <v>1812</v>
      </c>
      <c r="C47" s="370" t="s">
        <v>1942</v>
      </c>
      <c r="D47" s="1" t="s">
        <v>1949</v>
      </c>
      <c r="E47" s="1" t="s">
        <v>1949</v>
      </c>
      <c r="F47" s="300">
        <v>0.63600000000000001</v>
      </c>
      <c r="G47" s="300">
        <v>390.57</v>
      </c>
      <c r="H47" s="394">
        <f t="shared" si="5"/>
        <v>4.41</v>
      </c>
      <c r="I47" s="394">
        <f t="shared" si="6"/>
        <v>4.93</v>
      </c>
      <c r="J47" s="394">
        <f t="shared" si="7"/>
        <v>6.01</v>
      </c>
      <c r="K47" s="394">
        <f t="shared" si="8"/>
        <v>10.34</v>
      </c>
      <c r="O47" s="370">
        <v>26</v>
      </c>
      <c r="P47" t="s">
        <v>1009</v>
      </c>
      <c r="Q47" s="5">
        <v>8</v>
      </c>
      <c r="S47" s="1" t="str">
        <v/>
      </c>
      <c r="T47" s="1"/>
      <c r="U47" s="1"/>
      <c r="W47" s="1"/>
      <c r="X47" s="1"/>
      <c r="Y47" s="1"/>
      <c r="Z47" s="26"/>
      <c r="AB47" s="26"/>
      <c r="AC47" s="370" t="str">
        <f t="shared" si="4"/>
        <v/>
      </c>
    </row>
    <row r="48" spans="1:29" x14ac:dyDescent="0.25">
      <c r="A48" s="370">
        <v>27</v>
      </c>
      <c r="B48" s="370" t="s">
        <v>1812</v>
      </c>
      <c r="C48" s="370" t="s">
        <v>1947</v>
      </c>
      <c r="D48" s="1" t="s">
        <v>1949</v>
      </c>
      <c r="E48" s="1" t="s">
        <v>1949</v>
      </c>
      <c r="F48" s="300">
        <v>0.71399999999999997</v>
      </c>
      <c r="G48" s="300">
        <v>439.29</v>
      </c>
      <c r="H48" s="394">
        <f t="shared" si="5"/>
        <v>4.95</v>
      </c>
      <c r="I48" s="394">
        <f t="shared" si="6"/>
        <v>5.54</v>
      </c>
      <c r="J48" s="394">
        <f t="shared" si="7"/>
        <v>6.75</v>
      </c>
      <c r="K48" s="394">
        <f t="shared" si="8"/>
        <v>11.62</v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>
        <v>28</v>
      </c>
      <c r="B49" s="370" t="s">
        <v>1812</v>
      </c>
      <c r="C49" s="370" t="s">
        <v>1950</v>
      </c>
      <c r="D49" s="1" t="s">
        <v>1949</v>
      </c>
      <c r="E49" s="1" t="s">
        <v>1949</v>
      </c>
      <c r="F49" s="300">
        <v>0.81</v>
      </c>
      <c r="G49" s="300">
        <v>463.91</v>
      </c>
      <c r="H49" s="394">
        <f t="shared" si="5"/>
        <v>5.62</v>
      </c>
      <c r="I49" s="394">
        <f t="shared" si="6"/>
        <v>6.28</v>
      </c>
      <c r="J49" s="394">
        <f t="shared" si="7"/>
        <v>7.5</v>
      </c>
      <c r="K49" s="394">
        <f t="shared" si="8"/>
        <v>12.64</v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>
        <v>29</v>
      </c>
      <c r="B50" s="370" t="s">
        <v>1812</v>
      </c>
      <c r="C50" s="370" t="s">
        <v>1954</v>
      </c>
      <c r="D50" s="1" t="s">
        <v>1949</v>
      </c>
      <c r="E50" s="1" t="s">
        <v>1949</v>
      </c>
      <c r="F50" s="300">
        <v>0.89300000000000002</v>
      </c>
      <c r="G50" s="300">
        <v>512.72</v>
      </c>
      <c r="H50" s="394">
        <f t="shared" si="5"/>
        <v>6.2</v>
      </c>
      <c r="I50" s="394">
        <f t="shared" si="6"/>
        <v>6.92</v>
      </c>
      <c r="J50" s="394">
        <f t="shared" si="7"/>
        <v>8.2799999999999994</v>
      </c>
      <c r="K50" s="394">
        <f t="shared" si="8"/>
        <v>13.95</v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>
        <v>30</v>
      </c>
      <c r="B51" s="370" t="s">
        <v>1812</v>
      </c>
      <c r="C51" s="370" t="s">
        <v>1960</v>
      </c>
      <c r="D51" s="370" t="s">
        <v>1969</v>
      </c>
      <c r="E51" s="1" t="s">
        <v>1969</v>
      </c>
      <c r="F51" s="300">
        <v>1.238</v>
      </c>
      <c r="G51" s="300">
        <v>522.94200000000001</v>
      </c>
      <c r="H51" s="394">
        <f t="shared" si="5"/>
        <v>8.59</v>
      </c>
      <c r="I51" s="394">
        <f t="shared" si="6"/>
        <v>9.6</v>
      </c>
      <c r="J51" s="394">
        <f t="shared" si="7"/>
        <v>10.6</v>
      </c>
      <c r="K51" s="394">
        <f t="shared" si="8"/>
        <v>16.39</v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si="5"/>
        <v/>
      </c>
      <c r="I52" s="394" t="str">
        <f t="shared" si="6"/>
        <v/>
      </c>
      <c r="J52" s="394" t="str">
        <f t="shared" si="7"/>
        <v/>
      </c>
      <c r="K52" s="394" t="str">
        <f t="shared" si="8"/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1675</v>
      </c>
      <c r="Q409" s="5">
        <v>10.199999999999999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1676</v>
      </c>
      <c r="Q410" s="5">
        <v>13.6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1677</v>
      </c>
      <c r="Q413" s="5">
        <v>14.7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1678</v>
      </c>
      <c r="Q414" s="5">
        <v>19.3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1341</v>
      </c>
      <c r="Q415" s="5">
        <v>1.35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1343</v>
      </c>
      <c r="Q416" s="5">
        <v>4.0599999999999996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1345</v>
      </c>
      <c r="Q417" s="5">
        <v>0.7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212</v>
      </c>
      <c r="Q418" s="5">
        <v>7.01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1423</v>
      </c>
      <c r="Q419" s="5">
        <v>13.5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1424</v>
      </c>
      <c r="Q420" s="5">
        <v>15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1422</v>
      </c>
      <c r="Q421" s="5">
        <v>18.75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1352</v>
      </c>
      <c r="Q422" s="5">
        <v>5.28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1353</v>
      </c>
      <c r="Q423" s="5">
        <v>1.6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>
        <v>403</v>
      </c>
      <c r="P424" t="s">
        <v>1342</v>
      </c>
      <c r="Q424" s="5">
        <v>0.63</v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404</v>
      </c>
      <c r="P425" t="s">
        <v>1354</v>
      </c>
      <c r="Q425" s="5">
        <v>5.9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 t="str">
        <v/>
      </c>
      <c r="P426"/>
      <c r="Q426" s="5"/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 t="str">
        <v/>
      </c>
      <c r="P427"/>
      <c r="Q427" s="5"/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405</v>
      </c>
      <c r="P428" t="s">
        <v>1376</v>
      </c>
      <c r="Q428">
        <v>1.35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406</v>
      </c>
      <c r="P429" t="s">
        <v>1377</v>
      </c>
      <c r="Q429">
        <v>1.48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407</v>
      </c>
      <c r="P430" t="s">
        <v>1379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408</v>
      </c>
      <c r="P431" t="s">
        <v>1398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409</v>
      </c>
      <c r="P432" t="s">
        <v>1399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410</v>
      </c>
      <c r="P433" t="s">
        <v>1382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411</v>
      </c>
      <c r="P434" t="s">
        <v>1378</v>
      </c>
      <c r="Q434">
        <v>1.68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412</v>
      </c>
      <c r="P435" t="s">
        <v>1381</v>
      </c>
      <c r="Q435">
        <v>1.68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413</v>
      </c>
      <c r="P436" t="s">
        <v>1380</v>
      </c>
      <c r="Q436">
        <v>1.68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414</v>
      </c>
      <c r="P437" t="s">
        <v>1400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415</v>
      </c>
      <c r="P438" t="s">
        <v>1383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416</v>
      </c>
      <c r="P439" t="s">
        <v>1384</v>
      </c>
      <c r="Q439">
        <v>1.99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417</v>
      </c>
      <c r="P440" t="s">
        <v>1386</v>
      </c>
      <c r="Q440">
        <v>1.99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418</v>
      </c>
      <c r="P441" t="s">
        <v>1385</v>
      </c>
      <c r="Q441">
        <v>1.99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419</v>
      </c>
      <c r="P442" t="s">
        <v>1387</v>
      </c>
      <c r="Q442">
        <v>2.1800000000000002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420</v>
      </c>
      <c r="P443" t="s">
        <v>1388</v>
      </c>
      <c r="Q443">
        <v>2.1800000000000002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421</v>
      </c>
      <c r="P444" t="s">
        <v>1392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422</v>
      </c>
      <c r="P445" t="s">
        <v>1390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423</v>
      </c>
      <c r="P446" t="s">
        <v>1389</v>
      </c>
      <c r="Q446">
        <v>2.2799999999999998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424</v>
      </c>
      <c r="P447" t="s">
        <v>1391</v>
      </c>
      <c r="Q447">
        <v>2.2799999999999998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425</v>
      </c>
      <c r="P448" t="s">
        <v>1393</v>
      </c>
      <c r="Q448">
        <v>2.2799999999999998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426</v>
      </c>
      <c r="P449" t="s">
        <v>1394</v>
      </c>
      <c r="Q449">
        <v>2.48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>
        <v>427</v>
      </c>
      <c r="P450" t="s">
        <v>1395</v>
      </c>
      <c r="Q450">
        <v>2.48</v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>
        <v>428</v>
      </c>
      <c r="P451" t="s">
        <v>1401</v>
      </c>
      <c r="Q451">
        <v>2.59</v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>
        <v>429</v>
      </c>
      <c r="P452" t="s">
        <v>1396</v>
      </c>
      <c r="Q452">
        <v>2.88</v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V1001" s="416"/>
      <c r="Z1001" s="403"/>
      <c r="AA1001" s="403"/>
    </row>
    <row r="1005" spans="1:27" x14ac:dyDescent="0.25">
      <c r="H1005" s="394">
        <f t="shared" ref="H1005:H1036" si="69">IF($C27="","",ROUND(($B$2*$F27*($B$5/1000))/$B$6,2))</f>
        <v>2.4500000000000002</v>
      </c>
      <c r="I1005" s="394">
        <f t="shared" ref="I1005:I1036" si="70">IF($C27="","",ROUND(($B$3*$F27*($B$5/1000))/$B$6,2))</f>
        <v>2.73</v>
      </c>
      <c r="J1005" s="394">
        <f t="shared" ref="J1005:J1036" si="71">IF(OR($C27="",$B$9="",$B$15=""),"",ROUND(((((IF($B$15="N/A",$B$2,$B$4))*$F27*($B$5/1000))+((($G27/1000)*($B$5/1000)*10.7639104)*(IF($B$9="Smooth",$B$10,IF($B$9="Sand",$B$11,0)))))*(1+$B$17))/$B$8,2))</f>
        <v>3.01</v>
      </c>
      <c r="K1005" s="394">
        <f t="shared" ref="K1005:K1036" si="72">IF(OR($C27="",$B$12="",$B$15=""),"",ROUND(((((IF($B$15="N/A",$B$2,$B$4))*$F27*($B$5/1000))+((($G27/1000)*($B$5/1000)*10.7639104)*(IF($B$12="Indoor",$B$13,IF($B$12="Outdoor",$B$14,0)))))*(1+$B$17))/$B$8,2))</f>
        <v>4.6500000000000004</v>
      </c>
    </row>
    <row r="1006" spans="1:27" x14ac:dyDescent="0.25">
      <c r="H1006" s="394">
        <f t="shared" si="69"/>
        <v>1.89</v>
      </c>
      <c r="I1006" s="394">
        <f t="shared" si="70"/>
        <v>2.12</v>
      </c>
      <c r="J1006" s="394">
        <f t="shared" si="71"/>
        <v>2.5499999999999998</v>
      </c>
      <c r="K1006" s="394">
        <f t="shared" si="72"/>
        <v>4.34</v>
      </c>
    </row>
    <row r="1007" spans="1:27" x14ac:dyDescent="0.25">
      <c r="H1007" s="394">
        <f t="shared" si="69"/>
        <v>3.74</v>
      </c>
      <c r="I1007" s="394">
        <f t="shared" si="70"/>
        <v>4.18</v>
      </c>
      <c r="J1007" s="394">
        <f t="shared" si="71"/>
        <v>4.4400000000000004</v>
      </c>
      <c r="K1007" s="394">
        <f t="shared" si="72"/>
        <v>6.55</v>
      </c>
    </row>
    <row r="1008" spans="1:27" x14ac:dyDescent="0.25">
      <c r="H1008" s="394">
        <f t="shared" si="69"/>
        <v>9.39</v>
      </c>
      <c r="I1008" s="394">
        <f t="shared" si="70"/>
        <v>10.49</v>
      </c>
      <c r="J1008" s="394">
        <f t="shared" si="71"/>
        <v>9.84</v>
      </c>
      <c r="K1008" s="394">
        <f t="shared" si="72"/>
        <v>11.98</v>
      </c>
    </row>
    <row r="1009" spans="8:11" x14ac:dyDescent="0.25">
      <c r="H1009" s="394">
        <f t="shared" si="69"/>
        <v>3.28</v>
      </c>
      <c r="I1009" s="394">
        <f t="shared" si="70"/>
        <v>3.67</v>
      </c>
      <c r="J1009" s="394">
        <f t="shared" si="71"/>
        <v>4.04</v>
      </c>
      <c r="K1009" s="394">
        <f t="shared" si="72"/>
        <v>6.22</v>
      </c>
    </row>
    <row r="1010" spans="8:11" x14ac:dyDescent="0.25">
      <c r="H1010" s="394">
        <f t="shared" si="69"/>
        <v>2.21</v>
      </c>
      <c r="I1010" s="394">
        <f t="shared" si="70"/>
        <v>2.4700000000000002</v>
      </c>
      <c r="J1010" s="394">
        <f t="shared" si="71"/>
        <v>3.15</v>
      </c>
      <c r="K1010" s="394">
        <f t="shared" si="72"/>
        <v>5.64</v>
      </c>
    </row>
    <row r="1011" spans="8:11" x14ac:dyDescent="0.25">
      <c r="H1011" s="394">
        <f t="shared" si="69"/>
        <v>4.68</v>
      </c>
      <c r="I1011" s="394">
        <f t="shared" si="70"/>
        <v>5.23</v>
      </c>
      <c r="J1011" s="394">
        <f t="shared" si="71"/>
        <v>5.52</v>
      </c>
      <c r="K1011" s="394">
        <f t="shared" si="72"/>
        <v>8.07</v>
      </c>
    </row>
    <row r="1012" spans="8:11" x14ac:dyDescent="0.25">
      <c r="H1012" s="394">
        <f t="shared" si="69"/>
        <v>3</v>
      </c>
      <c r="I1012" s="394">
        <f t="shared" si="70"/>
        <v>3.35</v>
      </c>
      <c r="J1012" s="394">
        <f t="shared" si="71"/>
        <v>3.95</v>
      </c>
      <c r="K1012" s="394">
        <f t="shared" si="72"/>
        <v>6.57</v>
      </c>
    </row>
    <row r="1013" spans="8:11" x14ac:dyDescent="0.25">
      <c r="H1013" s="394">
        <f t="shared" si="69"/>
        <v>3.38</v>
      </c>
      <c r="I1013" s="394">
        <f t="shared" si="70"/>
        <v>3.78</v>
      </c>
      <c r="J1013" s="394">
        <f t="shared" si="71"/>
        <v>4.34</v>
      </c>
      <c r="K1013" s="394">
        <f t="shared" si="72"/>
        <v>7.02</v>
      </c>
    </row>
    <row r="1014" spans="8:11" x14ac:dyDescent="0.25">
      <c r="H1014" s="394">
        <f t="shared" si="69"/>
        <v>5.25</v>
      </c>
      <c r="I1014" s="394">
        <f t="shared" si="70"/>
        <v>5.86</v>
      </c>
      <c r="J1014" s="394">
        <f t="shared" si="71"/>
        <v>6.19</v>
      </c>
      <c r="K1014" s="394">
        <f t="shared" si="72"/>
        <v>9.0399999999999991</v>
      </c>
    </row>
    <row r="1015" spans="8:11" x14ac:dyDescent="0.25">
      <c r="H1015" s="394">
        <f t="shared" si="69"/>
        <v>3.54</v>
      </c>
      <c r="I1015" s="394">
        <f t="shared" si="70"/>
        <v>3.95</v>
      </c>
      <c r="J1015" s="394">
        <f t="shared" si="71"/>
        <v>4.57</v>
      </c>
      <c r="K1015" s="394">
        <f t="shared" si="72"/>
        <v>7.43</v>
      </c>
    </row>
    <row r="1016" spans="8:11" x14ac:dyDescent="0.25">
      <c r="H1016" s="394">
        <f t="shared" si="69"/>
        <v>5.89</v>
      </c>
      <c r="I1016" s="394">
        <f t="shared" si="70"/>
        <v>6.58</v>
      </c>
      <c r="J1016" s="394">
        <f t="shared" si="71"/>
        <v>6.86</v>
      </c>
      <c r="K1016" s="394">
        <f t="shared" si="72"/>
        <v>9.8699999999999992</v>
      </c>
    </row>
    <row r="1017" spans="8:11" x14ac:dyDescent="0.25">
      <c r="H1017" s="394">
        <f t="shared" si="69"/>
        <v>3.06</v>
      </c>
      <c r="I1017" s="394">
        <f t="shared" si="70"/>
        <v>3.42</v>
      </c>
      <c r="J1017" s="394">
        <f t="shared" si="71"/>
        <v>4.22</v>
      </c>
      <c r="K1017" s="394">
        <f t="shared" si="72"/>
        <v>7.34</v>
      </c>
    </row>
    <row r="1018" spans="8:11" x14ac:dyDescent="0.25">
      <c r="H1018" s="394">
        <f t="shared" si="69"/>
        <v>6.6</v>
      </c>
      <c r="I1018" s="394">
        <f t="shared" si="70"/>
        <v>7.38</v>
      </c>
      <c r="J1018" s="394">
        <f t="shared" si="71"/>
        <v>7.72</v>
      </c>
      <c r="K1018" s="394">
        <f t="shared" si="72"/>
        <v>11.14</v>
      </c>
    </row>
    <row r="1019" spans="8:11" x14ac:dyDescent="0.25">
      <c r="H1019" s="394">
        <f t="shared" si="69"/>
        <v>8.66</v>
      </c>
      <c r="I1019" s="394">
        <f t="shared" si="70"/>
        <v>9.67</v>
      </c>
      <c r="J1019" s="394">
        <f t="shared" si="71"/>
        <v>9.69</v>
      </c>
      <c r="K1019" s="394">
        <f t="shared" si="72"/>
        <v>13.16</v>
      </c>
    </row>
    <row r="1020" spans="8:11" x14ac:dyDescent="0.25">
      <c r="H1020" s="394">
        <f t="shared" si="69"/>
        <v>7.5</v>
      </c>
      <c r="I1020" s="394">
        <f t="shared" si="70"/>
        <v>8.3800000000000008</v>
      </c>
      <c r="J1020" s="394">
        <f t="shared" si="71"/>
        <v>8.6300000000000008</v>
      </c>
      <c r="K1020" s="394">
        <f t="shared" si="72"/>
        <v>12.18</v>
      </c>
    </row>
    <row r="1021" spans="8:11" x14ac:dyDescent="0.25">
      <c r="H1021" s="394">
        <f t="shared" si="69"/>
        <v>3.48</v>
      </c>
      <c r="I1021" s="394">
        <f t="shared" si="70"/>
        <v>3.89</v>
      </c>
      <c r="J1021" s="394">
        <f t="shared" si="71"/>
        <v>4.82</v>
      </c>
      <c r="K1021" s="394">
        <f t="shared" si="72"/>
        <v>8.4</v>
      </c>
    </row>
    <row r="1022" spans="8:11" x14ac:dyDescent="0.25">
      <c r="H1022" s="394">
        <f t="shared" si="69"/>
        <v>9.09</v>
      </c>
      <c r="I1022" s="394">
        <f t="shared" si="70"/>
        <v>10.16</v>
      </c>
      <c r="J1022" s="394">
        <f t="shared" si="71"/>
        <v>10.199999999999999</v>
      </c>
      <c r="K1022" s="394">
        <f t="shared" si="72"/>
        <v>13.9</v>
      </c>
    </row>
    <row r="1023" spans="8:11" x14ac:dyDescent="0.25">
      <c r="H1023" s="394">
        <f t="shared" si="69"/>
        <v>8.25</v>
      </c>
      <c r="I1023" s="394">
        <f t="shared" si="70"/>
        <v>9.2200000000000006</v>
      </c>
      <c r="J1023" s="394">
        <f t="shared" si="71"/>
        <v>9.52</v>
      </c>
      <c r="K1023" s="394">
        <f t="shared" si="72"/>
        <v>13.48</v>
      </c>
    </row>
    <row r="1024" spans="8:11" x14ac:dyDescent="0.25">
      <c r="H1024" s="394">
        <f t="shared" si="69"/>
        <v>10.16</v>
      </c>
      <c r="I1024" s="394">
        <f t="shared" si="70"/>
        <v>11.35</v>
      </c>
      <c r="J1024" s="394">
        <f t="shared" si="71"/>
        <v>11.39</v>
      </c>
      <c r="K1024" s="394">
        <f t="shared" si="72"/>
        <v>15.49</v>
      </c>
    </row>
    <row r="1025" spans="8:11" x14ac:dyDescent="0.25">
      <c r="H1025" s="394">
        <f t="shared" si="69"/>
        <v>4.28</v>
      </c>
      <c r="I1025" s="394">
        <f t="shared" si="70"/>
        <v>4.79</v>
      </c>
      <c r="J1025" s="394">
        <f t="shared" si="71"/>
        <v>5.84</v>
      </c>
      <c r="K1025" s="394">
        <f t="shared" si="72"/>
        <v>10.039999999999999</v>
      </c>
    </row>
    <row r="1026" spans="8:11" x14ac:dyDescent="0.25">
      <c r="H1026" s="394">
        <f t="shared" si="69"/>
        <v>4.8099999999999996</v>
      </c>
      <c r="I1026" s="394">
        <f t="shared" si="70"/>
        <v>5.38</v>
      </c>
      <c r="J1026" s="394">
        <f t="shared" si="71"/>
        <v>6.56</v>
      </c>
      <c r="K1026" s="394">
        <f t="shared" si="72"/>
        <v>11.28</v>
      </c>
    </row>
    <row r="1027" spans="8:11" x14ac:dyDescent="0.25">
      <c r="H1027" s="394">
        <f t="shared" si="69"/>
        <v>5.46</v>
      </c>
      <c r="I1027" s="394">
        <f t="shared" si="70"/>
        <v>6.1</v>
      </c>
      <c r="J1027" s="394">
        <f t="shared" si="71"/>
        <v>7.28</v>
      </c>
      <c r="K1027" s="394">
        <f t="shared" si="72"/>
        <v>12.27</v>
      </c>
    </row>
    <row r="1028" spans="8:11" x14ac:dyDescent="0.25">
      <c r="H1028" s="394">
        <f t="shared" si="69"/>
        <v>6.02</v>
      </c>
      <c r="I1028" s="394">
        <f t="shared" si="70"/>
        <v>6.72</v>
      </c>
      <c r="J1028" s="394">
        <f t="shared" si="71"/>
        <v>8.0399999999999991</v>
      </c>
      <c r="K1028" s="394">
        <f t="shared" si="72"/>
        <v>13.55</v>
      </c>
    </row>
    <row r="1029" spans="8:11" x14ac:dyDescent="0.25">
      <c r="H1029" s="394">
        <f t="shared" si="69"/>
        <v>8.34</v>
      </c>
      <c r="I1029" s="394">
        <f t="shared" si="70"/>
        <v>9.32</v>
      </c>
      <c r="J1029" s="394">
        <f t="shared" si="71"/>
        <v>10.29</v>
      </c>
      <c r="K1029" s="394">
        <f t="shared" si="72"/>
        <v>15.92</v>
      </c>
    </row>
    <row r="1030" spans="8:11" x14ac:dyDescent="0.25">
      <c r="H1030" s="394" t="str">
        <f t="shared" si="69"/>
        <v/>
      </c>
      <c r="I1030" s="394" t="str">
        <f t="shared" si="70"/>
        <v/>
      </c>
      <c r="J1030" s="394" t="str">
        <f t="shared" si="71"/>
        <v/>
      </c>
      <c r="K1030" s="394" t="str">
        <f t="shared" si="72"/>
        <v/>
      </c>
    </row>
    <row r="1031" spans="8:11" x14ac:dyDescent="0.25">
      <c r="H1031" s="394" t="str">
        <f t="shared" si="69"/>
        <v/>
      </c>
      <c r="I1031" s="394" t="str">
        <f t="shared" si="70"/>
        <v/>
      </c>
      <c r="J1031" s="394" t="str">
        <f t="shared" si="71"/>
        <v/>
      </c>
      <c r="K1031" s="394" t="str">
        <f t="shared" si="72"/>
        <v/>
      </c>
    </row>
    <row r="1032" spans="8:11" x14ac:dyDescent="0.25">
      <c r="H1032" s="394" t="str">
        <f t="shared" si="69"/>
        <v/>
      </c>
      <c r="I1032" s="394" t="str">
        <f t="shared" si="70"/>
        <v/>
      </c>
      <c r="J1032" s="394" t="str">
        <f t="shared" si="71"/>
        <v/>
      </c>
      <c r="K1032" s="394" t="str">
        <f t="shared" si="72"/>
        <v/>
      </c>
    </row>
    <row r="1033" spans="8:11" x14ac:dyDescent="0.25">
      <c r="H1033" s="394" t="str">
        <f t="shared" si="69"/>
        <v/>
      </c>
      <c r="I1033" s="394" t="str">
        <f t="shared" si="70"/>
        <v/>
      </c>
      <c r="J1033" s="394" t="str">
        <f t="shared" si="71"/>
        <v/>
      </c>
      <c r="K1033" s="394" t="str">
        <f t="shared" si="72"/>
        <v/>
      </c>
    </row>
    <row r="1034" spans="8:11" x14ac:dyDescent="0.25">
      <c r="H1034" s="394" t="str">
        <f t="shared" si="69"/>
        <v/>
      </c>
      <c r="I1034" s="394" t="str">
        <f t="shared" si="70"/>
        <v/>
      </c>
      <c r="J1034" s="394" t="str">
        <f t="shared" si="71"/>
        <v/>
      </c>
      <c r="K1034" s="394" t="str">
        <f t="shared" si="72"/>
        <v/>
      </c>
    </row>
    <row r="1035" spans="8:11" x14ac:dyDescent="0.25">
      <c r="H1035" s="394" t="str">
        <f t="shared" si="69"/>
        <v/>
      </c>
      <c r="I1035" s="394" t="str">
        <f t="shared" si="70"/>
        <v/>
      </c>
      <c r="J1035" s="394" t="str">
        <f t="shared" si="71"/>
        <v/>
      </c>
      <c r="K1035" s="394" t="str">
        <f t="shared" si="72"/>
        <v/>
      </c>
    </row>
    <row r="1036" spans="8:11" x14ac:dyDescent="0.25">
      <c r="H1036" s="394" t="str">
        <f t="shared" si="69"/>
        <v/>
      </c>
      <c r="I1036" s="394" t="str">
        <f t="shared" si="70"/>
        <v/>
      </c>
      <c r="J1036" s="394" t="str">
        <f t="shared" si="71"/>
        <v/>
      </c>
      <c r="K1036" s="394" t="str">
        <f t="shared" si="72"/>
        <v/>
      </c>
    </row>
    <row r="1037" spans="8:11" x14ac:dyDescent="0.25">
      <c r="H1037" s="394" t="str">
        <f t="shared" ref="H1037:H1064" si="73">IF($C59="","",ROUND(($B$2*$F59*($B$5/1000))/$B$6,2))</f>
        <v/>
      </c>
      <c r="I1037" s="394" t="str">
        <f t="shared" ref="I1037:I1064" si="74">IF($C59="","",ROUND(($B$3*$F59*($B$5/1000))/$B$6,2))</f>
        <v/>
      </c>
      <c r="J1037" s="394" t="str">
        <f t="shared" ref="J1037:J1064" si="75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76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3"/>
        <v/>
      </c>
      <c r="I1038" s="394" t="str">
        <f t="shared" si="74"/>
        <v/>
      </c>
      <c r="J1038" s="394" t="str">
        <f t="shared" si="75"/>
        <v/>
      </c>
      <c r="K1038" s="394" t="str">
        <f t="shared" si="76"/>
        <v/>
      </c>
    </row>
    <row r="1039" spans="8:11" x14ac:dyDescent="0.25">
      <c r="H1039" s="394" t="str">
        <f t="shared" si="73"/>
        <v/>
      </c>
      <c r="I1039" s="394" t="str">
        <f t="shared" si="74"/>
        <v/>
      </c>
      <c r="J1039" s="394" t="str">
        <f t="shared" si="75"/>
        <v/>
      </c>
      <c r="K1039" s="394" t="str">
        <f t="shared" si="76"/>
        <v/>
      </c>
    </row>
    <row r="1040" spans="8:11" x14ac:dyDescent="0.25">
      <c r="H1040" s="394" t="str">
        <f t="shared" si="73"/>
        <v/>
      </c>
      <c r="I1040" s="394" t="str">
        <f t="shared" si="74"/>
        <v/>
      </c>
      <c r="J1040" s="394" t="str">
        <f t="shared" si="75"/>
        <v/>
      </c>
      <c r="K1040" s="394" t="str">
        <f t="shared" si="76"/>
        <v/>
      </c>
    </row>
    <row r="1041" spans="8:11" x14ac:dyDescent="0.25">
      <c r="H1041" s="394" t="str">
        <f t="shared" si="73"/>
        <v/>
      </c>
      <c r="I1041" s="394" t="str">
        <f t="shared" si="74"/>
        <v/>
      </c>
      <c r="J1041" s="394" t="str">
        <f t="shared" si="75"/>
        <v/>
      </c>
      <c r="K1041" s="394" t="str">
        <f t="shared" si="76"/>
        <v/>
      </c>
    </row>
    <row r="1042" spans="8:11" x14ac:dyDescent="0.25">
      <c r="H1042" s="394" t="str">
        <f t="shared" si="73"/>
        <v/>
      </c>
      <c r="I1042" s="394" t="str">
        <f t="shared" si="74"/>
        <v/>
      </c>
      <c r="J1042" s="394" t="str">
        <f t="shared" si="75"/>
        <v/>
      </c>
      <c r="K1042" s="394" t="str">
        <f t="shared" si="76"/>
        <v/>
      </c>
    </row>
    <row r="1043" spans="8:11" x14ac:dyDescent="0.25">
      <c r="H1043" s="394" t="str">
        <f t="shared" si="73"/>
        <v/>
      </c>
      <c r="I1043" s="394" t="str">
        <f t="shared" si="74"/>
        <v/>
      </c>
      <c r="J1043" s="394" t="str">
        <f t="shared" si="75"/>
        <v/>
      </c>
      <c r="K1043" s="394" t="str">
        <f t="shared" si="76"/>
        <v/>
      </c>
    </row>
    <row r="1044" spans="8:11" x14ac:dyDescent="0.25">
      <c r="H1044" s="394" t="str">
        <f t="shared" si="73"/>
        <v/>
      </c>
      <c r="I1044" s="394" t="str">
        <f t="shared" si="74"/>
        <v/>
      </c>
      <c r="J1044" s="394" t="str">
        <f t="shared" si="75"/>
        <v/>
      </c>
      <c r="K1044" s="394" t="str">
        <f t="shared" si="76"/>
        <v/>
      </c>
    </row>
    <row r="1045" spans="8:11" x14ac:dyDescent="0.25">
      <c r="H1045" s="394" t="str">
        <f t="shared" si="73"/>
        <v/>
      </c>
      <c r="I1045" s="394" t="str">
        <f t="shared" si="74"/>
        <v/>
      </c>
      <c r="J1045" s="394" t="str">
        <f t="shared" si="75"/>
        <v/>
      </c>
      <c r="K1045" s="394" t="str">
        <f t="shared" si="76"/>
        <v/>
      </c>
    </row>
    <row r="1046" spans="8:11" x14ac:dyDescent="0.25">
      <c r="H1046" s="394" t="str">
        <f t="shared" si="73"/>
        <v/>
      </c>
      <c r="I1046" s="394" t="str">
        <f t="shared" si="74"/>
        <v/>
      </c>
      <c r="J1046" s="394" t="str">
        <f t="shared" si="75"/>
        <v/>
      </c>
      <c r="K1046" s="394" t="str">
        <f t="shared" si="76"/>
        <v/>
      </c>
    </row>
    <row r="1047" spans="8:11" x14ac:dyDescent="0.25">
      <c r="H1047" s="394" t="str">
        <f t="shared" si="73"/>
        <v/>
      </c>
      <c r="I1047" s="394" t="str">
        <f t="shared" si="74"/>
        <v/>
      </c>
      <c r="J1047" s="394" t="str">
        <f t="shared" si="75"/>
        <v/>
      </c>
      <c r="K1047" s="394" t="str">
        <f t="shared" si="76"/>
        <v/>
      </c>
    </row>
    <row r="1048" spans="8:11" x14ac:dyDescent="0.25">
      <c r="H1048" s="394" t="str">
        <f t="shared" si="73"/>
        <v/>
      </c>
      <c r="I1048" s="394" t="str">
        <f t="shared" si="74"/>
        <v/>
      </c>
      <c r="J1048" s="394" t="str">
        <f t="shared" si="75"/>
        <v/>
      </c>
      <c r="K1048" s="394" t="str">
        <f t="shared" si="76"/>
        <v/>
      </c>
    </row>
    <row r="1049" spans="8:11" x14ac:dyDescent="0.25">
      <c r="H1049" s="394" t="str">
        <f t="shared" si="73"/>
        <v/>
      </c>
      <c r="I1049" s="394" t="str">
        <f t="shared" si="74"/>
        <v/>
      </c>
      <c r="J1049" s="394" t="str">
        <f t="shared" si="75"/>
        <v/>
      </c>
      <c r="K1049" s="394" t="str">
        <f t="shared" si="76"/>
        <v/>
      </c>
    </row>
    <row r="1050" spans="8:11" x14ac:dyDescent="0.25">
      <c r="H1050" s="394" t="str">
        <f t="shared" si="73"/>
        <v/>
      </c>
      <c r="I1050" s="394" t="str">
        <f t="shared" si="74"/>
        <v/>
      </c>
      <c r="J1050" s="394" t="str">
        <f t="shared" si="75"/>
        <v/>
      </c>
      <c r="K1050" s="394" t="str">
        <f t="shared" si="76"/>
        <v/>
      </c>
    </row>
    <row r="1051" spans="8:11" x14ac:dyDescent="0.25">
      <c r="H1051" s="394" t="str">
        <f t="shared" si="73"/>
        <v/>
      </c>
      <c r="I1051" s="394" t="str">
        <f t="shared" si="74"/>
        <v/>
      </c>
      <c r="J1051" s="394" t="str">
        <f t="shared" si="75"/>
        <v/>
      </c>
      <c r="K1051" s="394" t="str">
        <f t="shared" si="76"/>
        <v/>
      </c>
    </row>
    <row r="1052" spans="8:11" x14ac:dyDescent="0.25">
      <c r="H1052" s="394" t="str">
        <f t="shared" si="73"/>
        <v/>
      </c>
      <c r="I1052" s="394" t="str">
        <f t="shared" si="74"/>
        <v/>
      </c>
      <c r="J1052" s="394" t="str">
        <f t="shared" si="75"/>
        <v/>
      </c>
      <c r="K1052" s="394" t="str">
        <f t="shared" si="76"/>
        <v/>
      </c>
    </row>
    <row r="1053" spans="8:11" x14ac:dyDescent="0.25">
      <c r="H1053" s="394" t="str">
        <f t="shared" si="73"/>
        <v/>
      </c>
      <c r="I1053" s="394" t="str">
        <f t="shared" si="74"/>
        <v/>
      </c>
      <c r="J1053" s="394" t="str">
        <f t="shared" si="75"/>
        <v/>
      </c>
      <c r="K1053" s="394" t="str">
        <f t="shared" si="76"/>
        <v/>
      </c>
    </row>
    <row r="1054" spans="8:11" x14ac:dyDescent="0.25">
      <c r="H1054" s="394" t="str">
        <f t="shared" si="73"/>
        <v/>
      </c>
      <c r="I1054" s="394" t="str">
        <f t="shared" si="74"/>
        <v/>
      </c>
      <c r="J1054" s="394" t="str">
        <f t="shared" si="75"/>
        <v/>
      </c>
      <c r="K1054" s="394" t="str">
        <f t="shared" si="76"/>
        <v/>
      </c>
    </row>
    <row r="1055" spans="8:11" x14ac:dyDescent="0.25">
      <c r="H1055" s="394" t="str">
        <f t="shared" si="73"/>
        <v/>
      </c>
      <c r="I1055" s="394" t="str">
        <f t="shared" si="74"/>
        <v/>
      </c>
      <c r="J1055" s="394" t="str">
        <f t="shared" si="75"/>
        <v/>
      </c>
      <c r="K1055" s="394" t="str">
        <f t="shared" si="76"/>
        <v/>
      </c>
    </row>
    <row r="1056" spans="8:11" x14ac:dyDescent="0.25">
      <c r="H1056" s="394" t="str">
        <f t="shared" si="73"/>
        <v/>
      </c>
      <c r="I1056" s="394" t="str">
        <f t="shared" si="74"/>
        <v/>
      </c>
      <c r="J1056" s="394" t="str">
        <f t="shared" si="75"/>
        <v/>
      </c>
      <c r="K1056" s="394" t="str">
        <f t="shared" si="76"/>
        <v/>
      </c>
    </row>
    <row r="1057" spans="8:11" x14ac:dyDescent="0.25">
      <c r="H1057" s="394" t="str">
        <f t="shared" si="73"/>
        <v/>
      </c>
      <c r="I1057" s="394" t="str">
        <f t="shared" si="74"/>
        <v/>
      </c>
      <c r="J1057" s="394" t="str">
        <f t="shared" si="75"/>
        <v/>
      </c>
      <c r="K1057" s="394" t="str">
        <f t="shared" si="76"/>
        <v/>
      </c>
    </row>
    <row r="1058" spans="8:11" x14ac:dyDescent="0.25">
      <c r="H1058" s="394" t="str">
        <f t="shared" si="73"/>
        <v/>
      </c>
      <c r="I1058" s="394" t="str">
        <f t="shared" si="74"/>
        <v/>
      </c>
      <c r="J1058" s="394" t="str">
        <f t="shared" si="75"/>
        <v/>
      </c>
      <c r="K1058" s="394" t="str">
        <f t="shared" si="76"/>
        <v/>
      </c>
    </row>
    <row r="1059" spans="8:11" x14ac:dyDescent="0.25">
      <c r="H1059" s="394" t="str">
        <f t="shared" si="73"/>
        <v/>
      </c>
      <c r="I1059" s="394" t="str">
        <f t="shared" si="74"/>
        <v/>
      </c>
      <c r="J1059" s="394" t="str">
        <f t="shared" si="75"/>
        <v/>
      </c>
      <c r="K1059" s="394" t="str">
        <f t="shared" si="76"/>
        <v/>
      </c>
    </row>
    <row r="1060" spans="8:11" x14ac:dyDescent="0.25">
      <c r="H1060" s="394" t="str">
        <f t="shared" si="73"/>
        <v/>
      </c>
      <c r="I1060" s="394" t="str">
        <f t="shared" si="74"/>
        <v/>
      </c>
      <c r="J1060" s="394" t="str">
        <f t="shared" si="75"/>
        <v/>
      </c>
      <c r="K1060" s="394" t="str">
        <f t="shared" si="76"/>
        <v/>
      </c>
    </row>
    <row r="1061" spans="8:11" x14ac:dyDescent="0.25">
      <c r="H1061" s="394" t="str">
        <f t="shared" si="73"/>
        <v/>
      </c>
      <c r="I1061" s="394" t="str">
        <f t="shared" si="74"/>
        <v/>
      </c>
      <c r="J1061" s="394" t="str">
        <f t="shared" si="75"/>
        <v/>
      </c>
      <c r="K1061" s="394" t="str">
        <f t="shared" si="76"/>
        <v/>
      </c>
    </row>
    <row r="1062" spans="8:11" x14ac:dyDescent="0.25">
      <c r="H1062" s="394" t="str">
        <f t="shared" si="73"/>
        <v/>
      </c>
      <c r="I1062" s="394" t="str">
        <f t="shared" si="74"/>
        <v/>
      </c>
      <c r="J1062" s="394" t="str">
        <f t="shared" si="75"/>
        <v/>
      </c>
      <c r="K1062" s="394" t="str">
        <f t="shared" si="76"/>
        <v/>
      </c>
    </row>
    <row r="1063" spans="8:11" x14ac:dyDescent="0.25">
      <c r="H1063" s="394" t="str">
        <f t="shared" si="73"/>
        <v/>
      </c>
      <c r="I1063" s="394" t="str">
        <f t="shared" si="74"/>
        <v/>
      </c>
      <c r="J1063" s="394" t="str">
        <f t="shared" si="75"/>
        <v/>
      </c>
      <c r="K1063" s="394" t="str">
        <f t="shared" si="76"/>
        <v/>
      </c>
    </row>
    <row r="1064" spans="8:11" x14ac:dyDescent="0.25">
      <c r="H1064" s="394" t="str">
        <f t="shared" si="73"/>
        <v/>
      </c>
      <c r="I1064" s="394" t="str">
        <f t="shared" si="74"/>
        <v/>
      </c>
      <c r="J1064" s="394" t="str">
        <f t="shared" si="75"/>
        <v/>
      </c>
      <c r="K1064" s="394" t="str">
        <f t="shared" si="76"/>
        <v/>
      </c>
    </row>
    <row r="1065" spans="8:11" x14ac:dyDescent="0.25">
      <c r="H1065" s="394" t="str">
        <f t="shared" ref="H1065:H1128" si="77">IF($C87="","",ROUND(($B$2*$F87*($B$5/1000))/$B$6,2))</f>
        <v/>
      </c>
      <c r="I1065" s="394" t="str">
        <f t="shared" ref="I1065:I1128" si="78">IF($C87="","",ROUND(($B$3*$F87*($B$5/1000))/$B$6,2))</f>
        <v/>
      </c>
      <c r="J1065" s="394" t="str">
        <f t="shared" ref="J1065:J1128" si="79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0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77"/>
        <v/>
      </c>
      <c r="I1066" s="394" t="str">
        <f t="shared" si="78"/>
        <v/>
      </c>
      <c r="J1066" s="394" t="str">
        <f t="shared" si="79"/>
        <v/>
      </c>
      <c r="K1066" s="394" t="str">
        <f t="shared" si="80"/>
        <v/>
      </c>
    </row>
    <row r="1067" spans="8:11" x14ac:dyDescent="0.25">
      <c r="H1067" s="394" t="str">
        <f t="shared" si="77"/>
        <v/>
      </c>
      <c r="I1067" s="394" t="str">
        <f t="shared" si="78"/>
        <v/>
      </c>
      <c r="J1067" s="394" t="str">
        <f t="shared" si="79"/>
        <v/>
      </c>
      <c r="K1067" s="394" t="str">
        <f t="shared" si="80"/>
        <v/>
      </c>
    </row>
    <row r="1068" spans="8:11" x14ac:dyDescent="0.25">
      <c r="H1068" s="394" t="str">
        <f t="shared" si="77"/>
        <v/>
      </c>
      <c r="I1068" s="394" t="str">
        <f t="shared" si="78"/>
        <v/>
      </c>
      <c r="J1068" s="394" t="str">
        <f t="shared" si="79"/>
        <v/>
      </c>
      <c r="K1068" s="394" t="str">
        <f t="shared" si="80"/>
        <v/>
      </c>
    </row>
    <row r="1069" spans="8:11" x14ac:dyDescent="0.25">
      <c r="H1069" s="394" t="str">
        <f t="shared" si="77"/>
        <v/>
      </c>
      <c r="I1069" s="394" t="str">
        <f t="shared" si="78"/>
        <v/>
      </c>
      <c r="J1069" s="394" t="str">
        <f t="shared" si="79"/>
        <v/>
      </c>
      <c r="K1069" s="394" t="str">
        <f t="shared" si="80"/>
        <v/>
      </c>
    </row>
    <row r="1070" spans="8:11" x14ac:dyDescent="0.25">
      <c r="H1070" s="394" t="str">
        <f t="shared" si="77"/>
        <v/>
      </c>
      <c r="I1070" s="394" t="str">
        <f t="shared" si="78"/>
        <v/>
      </c>
      <c r="J1070" s="394" t="str">
        <f t="shared" si="79"/>
        <v/>
      </c>
      <c r="K1070" s="394" t="str">
        <f t="shared" si="80"/>
        <v/>
      </c>
    </row>
    <row r="1071" spans="8:11" x14ac:dyDescent="0.25">
      <c r="H1071" s="394" t="str">
        <f t="shared" si="77"/>
        <v/>
      </c>
      <c r="I1071" s="394" t="str">
        <f t="shared" si="78"/>
        <v/>
      </c>
      <c r="J1071" s="394" t="str">
        <f t="shared" si="79"/>
        <v/>
      </c>
      <c r="K1071" s="394" t="str">
        <f t="shared" si="80"/>
        <v/>
      </c>
    </row>
    <row r="1072" spans="8:11" x14ac:dyDescent="0.25">
      <c r="H1072" s="394" t="str">
        <f t="shared" si="77"/>
        <v/>
      </c>
      <c r="I1072" s="394" t="str">
        <f t="shared" si="78"/>
        <v/>
      </c>
      <c r="J1072" s="394" t="str">
        <f t="shared" si="79"/>
        <v/>
      </c>
      <c r="K1072" s="394" t="str">
        <f t="shared" si="80"/>
        <v/>
      </c>
    </row>
    <row r="1073" spans="8:11" x14ac:dyDescent="0.25">
      <c r="H1073" s="394" t="str">
        <f t="shared" si="77"/>
        <v/>
      </c>
      <c r="I1073" s="394" t="str">
        <f t="shared" si="78"/>
        <v/>
      </c>
      <c r="J1073" s="394" t="str">
        <f t="shared" si="79"/>
        <v/>
      </c>
      <c r="K1073" s="394" t="str">
        <f t="shared" si="80"/>
        <v/>
      </c>
    </row>
    <row r="1074" spans="8:11" x14ac:dyDescent="0.25">
      <c r="H1074" s="394" t="str">
        <f t="shared" si="77"/>
        <v/>
      </c>
      <c r="I1074" s="394" t="str">
        <f t="shared" si="78"/>
        <v/>
      </c>
      <c r="J1074" s="394" t="str">
        <f t="shared" si="79"/>
        <v/>
      </c>
      <c r="K1074" s="394" t="str">
        <f t="shared" si="80"/>
        <v/>
      </c>
    </row>
    <row r="1075" spans="8:11" x14ac:dyDescent="0.25">
      <c r="H1075" s="394" t="str">
        <f t="shared" si="77"/>
        <v/>
      </c>
      <c r="I1075" s="394" t="str">
        <f t="shared" si="78"/>
        <v/>
      </c>
      <c r="J1075" s="394" t="str">
        <f t="shared" si="79"/>
        <v/>
      </c>
      <c r="K1075" s="394" t="str">
        <f t="shared" si="80"/>
        <v/>
      </c>
    </row>
    <row r="1076" spans="8:11" x14ac:dyDescent="0.25">
      <c r="H1076" s="394" t="str">
        <f t="shared" si="77"/>
        <v/>
      </c>
      <c r="I1076" s="394" t="str">
        <f t="shared" si="78"/>
        <v/>
      </c>
      <c r="J1076" s="394" t="str">
        <f t="shared" si="79"/>
        <v/>
      </c>
      <c r="K1076" s="394" t="str">
        <f t="shared" si="80"/>
        <v/>
      </c>
    </row>
    <row r="1077" spans="8:11" x14ac:dyDescent="0.25">
      <c r="H1077" s="394" t="str">
        <f t="shared" si="77"/>
        <v/>
      </c>
      <c r="I1077" s="394" t="str">
        <f t="shared" si="78"/>
        <v/>
      </c>
      <c r="J1077" s="394" t="str">
        <f t="shared" si="79"/>
        <v/>
      </c>
      <c r="K1077" s="394" t="str">
        <f t="shared" si="80"/>
        <v/>
      </c>
    </row>
    <row r="1078" spans="8:11" x14ac:dyDescent="0.25">
      <c r="H1078" s="394" t="str">
        <f t="shared" si="77"/>
        <v/>
      </c>
      <c r="I1078" s="394" t="str">
        <f t="shared" si="78"/>
        <v/>
      </c>
      <c r="J1078" s="394" t="str">
        <f t="shared" si="79"/>
        <v/>
      </c>
      <c r="K1078" s="394" t="str">
        <f t="shared" si="80"/>
        <v/>
      </c>
    </row>
    <row r="1079" spans="8:11" x14ac:dyDescent="0.25">
      <c r="H1079" s="394" t="str">
        <f t="shared" si="77"/>
        <v/>
      </c>
      <c r="I1079" s="394" t="str">
        <f t="shared" si="78"/>
        <v/>
      </c>
      <c r="J1079" s="394" t="str">
        <f t="shared" si="79"/>
        <v/>
      </c>
      <c r="K1079" s="394" t="str">
        <f t="shared" si="80"/>
        <v/>
      </c>
    </row>
    <row r="1080" spans="8:11" x14ac:dyDescent="0.25">
      <c r="H1080" s="394" t="str">
        <f t="shared" si="77"/>
        <v/>
      </c>
      <c r="I1080" s="394" t="str">
        <f t="shared" si="78"/>
        <v/>
      </c>
      <c r="J1080" s="394" t="str">
        <f t="shared" si="79"/>
        <v/>
      </c>
      <c r="K1080" s="394" t="str">
        <f t="shared" si="80"/>
        <v/>
      </c>
    </row>
    <row r="1081" spans="8:11" x14ac:dyDescent="0.25">
      <c r="H1081" s="394" t="str">
        <f t="shared" si="77"/>
        <v/>
      </c>
      <c r="I1081" s="394" t="str">
        <f t="shared" si="78"/>
        <v/>
      </c>
      <c r="J1081" s="394" t="str">
        <f t="shared" si="79"/>
        <v/>
      </c>
      <c r="K1081" s="394" t="str">
        <f t="shared" si="80"/>
        <v/>
      </c>
    </row>
    <row r="1082" spans="8:11" x14ac:dyDescent="0.25">
      <c r="H1082" s="394" t="str">
        <f t="shared" si="77"/>
        <v/>
      </c>
      <c r="I1082" s="394" t="str">
        <f t="shared" si="78"/>
        <v/>
      </c>
      <c r="J1082" s="394" t="str">
        <f t="shared" si="79"/>
        <v/>
      </c>
      <c r="K1082" s="394" t="str">
        <f t="shared" si="80"/>
        <v/>
      </c>
    </row>
    <row r="1083" spans="8:11" x14ac:dyDescent="0.25">
      <c r="H1083" s="394" t="str">
        <f t="shared" si="77"/>
        <v/>
      </c>
      <c r="I1083" s="394" t="str">
        <f t="shared" si="78"/>
        <v/>
      </c>
      <c r="J1083" s="394" t="str">
        <f t="shared" si="79"/>
        <v/>
      </c>
      <c r="K1083" s="394" t="str">
        <f t="shared" si="80"/>
        <v/>
      </c>
    </row>
    <row r="1084" spans="8:11" x14ac:dyDescent="0.25">
      <c r="H1084" s="394" t="str">
        <f t="shared" si="77"/>
        <v/>
      </c>
      <c r="I1084" s="394" t="str">
        <f t="shared" si="78"/>
        <v/>
      </c>
      <c r="J1084" s="394" t="str">
        <f t="shared" si="79"/>
        <v/>
      </c>
      <c r="K1084" s="394" t="str">
        <f t="shared" si="80"/>
        <v/>
      </c>
    </row>
    <row r="1085" spans="8:11" x14ac:dyDescent="0.25">
      <c r="H1085" s="394" t="str">
        <f t="shared" si="77"/>
        <v/>
      </c>
      <c r="I1085" s="394" t="str">
        <f t="shared" si="78"/>
        <v/>
      </c>
      <c r="J1085" s="394" t="str">
        <f t="shared" si="79"/>
        <v/>
      </c>
      <c r="K1085" s="394" t="str">
        <f t="shared" si="80"/>
        <v/>
      </c>
    </row>
    <row r="1086" spans="8:11" x14ac:dyDescent="0.25">
      <c r="H1086" s="394" t="str">
        <f t="shared" si="77"/>
        <v/>
      </c>
      <c r="I1086" s="394" t="str">
        <f t="shared" si="78"/>
        <v/>
      </c>
      <c r="J1086" s="394" t="str">
        <f t="shared" si="79"/>
        <v/>
      </c>
      <c r="K1086" s="394" t="str">
        <f t="shared" si="80"/>
        <v/>
      </c>
    </row>
    <row r="1087" spans="8:11" x14ac:dyDescent="0.25">
      <c r="H1087" s="394" t="str">
        <f t="shared" si="77"/>
        <v/>
      </c>
      <c r="I1087" s="394" t="str">
        <f t="shared" si="78"/>
        <v/>
      </c>
      <c r="J1087" s="394" t="str">
        <f t="shared" si="79"/>
        <v/>
      </c>
      <c r="K1087" s="394" t="str">
        <f t="shared" si="80"/>
        <v/>
      </c>
    </row>
    <row r="1088" spans="8:11" x14ac:dyDescent="0.25">
      <c r="H1088" s="394" t="str">
        <f t="shared" si="77"/>
        <v/>
      </c>
      <c r="I1088" s="394" t="str">
        <f t="shared" si="78"/>
        <v/>
      </c>
      <c r="J1088" s="394" t="str">
        <f t="shared" si="79"/>
        <v/>
      </c>
      <c r="K1088" s="394" t="str">
        <f t="shared" si="80"/>
        <v/>
      </c>
    </row>
    <row r="1089" spans="8:11" x14ac:dyDescent="0.25">
      <c r="H1089" s="394" t="str">
        <f t="shared" si="77"/>
        <v/>
      </c>
      <c r="I1089" s="394" t="str">
        <f t="shared" si="78"/>
        <v/>
      </c>
      <c r="J1089" s="394" t="str">
        <f t="shared" si="79"/>
        <v/>
      </c>
      <c r="K1089" s="394" t="str">
        <f t="shared" si="80"/>
        <v/>
      </c>
    </row>
    <row r="1090" spans="8:11" x14ac:dyDescent="0.25">
      <c r="H1090" s="394" t="str">
        <f t="shared" si="77"/>
        <v/>
      </c>
      <c r="I1090" s="394" t="str">
        <f t="shared" si="78"/>
        <v/>
      </c>
      <c r="J1090" s="394" t="str">
        <f t="shared" si="79"/>
        <v/>
      </c>
      <c r="K1090" s="394" t="str">
        <f t="shared" si="80"/>
        <v/>
      </c>
    </row>
    <row r="1091" spans="8:11" x14ac:dyDescent="0.25">
      <c r="H1091" s="394" t="str">
        <f t="shared" si="77"/>
        <v/>
      </c>
      <c r="I1091" s="394" t="str">
        <f t="shared" si="78"/>
        <v/>
      </c>
      <c r="J1091" s="394" t="str">
        <f t="shared" si="79"/>
        <v/>
      </c>
      <c r="K1091" s="394" t="str">
        <f t="shared" si="80"/>
        <v/>
      </c>
    </row>
    <row r="1092" spans="8:11" x14ac:dyDescent="0.25">
      <c r="H1092" s="394" t="str">
        <f t="shared" si="77"/>
        <v/>
      </c>
      <c r="I1092" s="394" t="str">
        <f t="shared" si="78"/>
        <v/>
      </c>
      <c r="J1092" s="394" t="str">
        <f t="shared" si="79"/>
        <v/>
      </c>
      <c r="K1092" s="394" t="str">
        <f t="shared" si="80"/>
        <v/>
      </c>
    </row>
    <row r="1093" spans="8:11" x14ac:dyDescent="0.25">
      <c r="H1093" s="394" t="str">
        <f t="shared" si="77"/>
        <v/>
      </c>
      <c r="I1093" s="394" t="str">
        <f t="shared" si="78"/>
        <v/>
      </c>
      <c r="J1093" s="394" t="str">
        <f t="shared" si="79"/>
        <v/>
      </c>
      <c r="K1093" s="394" t="str">
        <f t="shared" si="80"/>
        <v/>
      </c>
    </row>
    <row r="1094" spans="8:11" x14ac:dyDescent="0.25">
      <c r="H1094" s="394" t="str">
        <f t="shared" si="77"/>
        <v/>
      </c>
      <c r="I1094" s="394" t="str">
        <f t="shared" si="78"/>
        <v/>
      </c>
      <c r="J1094" s="394" t="str">
        <f t="shared" si="79"/>
        <v/>
      </c>
      <c r="K1094" s="394" t="str">
        <f t="shared" si="80"/>
        <v/>
      </c>
    </row>
    <row r="1095" spans="8:11" x14ac:dyDescent="0.25">
      <c r="H1095" s="394" t="str">
        <f t="shared" si="77"/>
        <v/>
      </c>
      <c r="I1095" s="394" t="str">
        <f t="shared" si="78"/>
        <v/>
      </c>
      <c r="J1095" s="394" t="str">
        <f t="shared" si="79"/>
        <v/>
      </c>
      <c r="K1095" s="394" t="str">
        <f t="shared" si="80"/>
        <v/>
      </c>
    </row>
    <row r="1096" spans="8:11" x14ac:dyDescent="0.25">
      <c r="H1096" s="394" t="str">
        <f t="shared" si="77"/>
        <v/>
      </c>
      <c r="I1096" s="394" t="str">
        <f t="shared" si="78"/>
        <v/>
      </c>
      <c r="J1096" s="394" t="str">
        <f t="shared" si="79"/>
        <v/>
      </c>
      <c r="K1096" s="394" t="str">
        <f t="shared" si="80"/>
        <v/>
      </c>
    </row>
    <row r="1097" spans="8:11" x14ac:dyDescent="0.25">
      <c r="H1097" s="394" t="str">
        <f t="shared" si="77"/>
        <v/>
      </c>
      <c r="I1097" s="394" t="str">
        <f t="shared" si="78"/>
        <v/>
      </c>
      <c r="J1097" s="394" t="str">
        <f t="shared" si="79"/>
        <v/>
      </c>
      <c r="K1097" s="394" t="str">
        <f t="shared" si="80"/>
        <v/>
      </c>
    </row>
    <row r="1098" spans="8:11" x14ac:dyDescent="0.25">
      <c r="H1098" s="394" t="str">
        <f t="shared" si="77"/>
        <v/>
      </c>
      <c r="I1098" s="394" t="str">
        <f t="shared" si="78"/>
        <v/>
      </c>
      <c r="J1098" s="394" t="str">
        <f t="shared" si="79"/>
        <v/>
      </c>
      <c r="K1098" s="394" t="str">
        <f t="shared" si="80"/>
        <v/>
      </c>
    </row>
    <row r="1099" spans="8:11" x14ac:dyDescent="0.25">
      <c r="H1099" s="394" t="str">
        <f t="shared" si="77"/>
        <v/>
      </c>
      <c r="I1099" s="394" t="str">
        <f t="shared" si="78"/>
        <v/>
      </c>
      <c r="J1099" s="394" t="str">
        <f t="shared" si="79"/>
        <v/>
      </c>
      <c r="K1099" s="394" t="str">
        <f t="shared" si="80"/>
        <v/>
      </c>
    </row>
    <row r="1100" spans="8:11" x14ac:dyDescent="0.25">
      <c r="H1100" s="394" t="str">
        <f t="shared" si="77"/>
        <v/>
      </c>
      <c r="I1100" s="394" t="str">
        <f t="shared" si="78"/>
        <v/>
      </c>
      <c r="J1100" s="394" t="str">
        <f t="shared" si="79"/>
        <v/>
      </c>
      <c r="K1100" s="394" t="str">
        <f t="shared" si="80"/>
        <v/>
      </c>
    </row>
    <row r="1101" spans="8:11" x14ac:dyDescent="0.25">
      <c r="H1101" s="394" t="str">
        <f t="shared" si="77"/>
        <v/>
      </c>
      <c r="I1101" s="394" t="str">
        <f t="shared" si="78"/>
        <v/>
      </c>
      <c r="J1101" s="394" t="str">
        <f t="shared" si="79"/>
        <v/>
      </c>
      <c r="K1101" s="394" t="str">
        <f t="shared" si="80"/>
        <v/>
      </c>
    </row>
    <row r="1102" spans="8:11" x14ac:dyDescent="0.25">
      <c r="H1102" s="394" t="str">
        <f t="shared" si="77"/>
        <v/>
      </c>
      <c r="I1102" s="394" t="str">
        <f t="shared" si="78"/>
        <v/>
      </c>
      <c r="J1102" s="394" t="str">
        <f t="shared" si="79"/>
        <v/>
      </c>
      <c r="K1102" s="394" t="str">
        <f t="shared" si="80"/>
        <v/>
      </c>
    </row>
    <row r="1103" spans="8:11" x14ac:dyDescent="0.25">
      <c r="H1103" s="394" t="str">
        <f t="shared" si="77"/>
        <v/>
      </c>
      <c r="I1103" s="394" t="str">
        <f t="shared" si="78"/>
        <v/>
      </c>
      <c r="J1103" s="394" t="str">
        <f t="shared" si="79"/>
        <v/>
      </c>
      <c r="K1103" s="394" t="str">
        <f t="shared" si="80"/>
        <v/>
      </c>
    </row>
    <row r="1104" spans="8:11" x14ac:dyDescent="0.25">
      <c r="H1104" s="394" t="str">
        <f t="shared" si="77"/>
        <v/>
      </c>
      <c r="I1104" s="394" t="str">
        <f t="shared" si="78"/>
        <v/>
      </c>
      <c r="J1104" s="394" t="str">
        <f t="shared" si="79"/>
        <v/>
      </c>
      <c r="K1104" s="394" t="str">
        <f t="shared" si="80"/>
        <v/>
      </c>
    </row>
    <row r="1105" spans="8:11" x14ac:dyDescent="0.25">
      <c r="H1105" s="394" t="str">
        <f t="shared" si="77"/>
        <v/>
      </c>
      <c r="I1105" s="394" t="str">
        <f t="shared" si="78"/>
        <v/>
      </c>
      <c r="J1105" s="394" t="str">
        <f t="shared" si="79"/>
        <v/>
      </c>
      <c r="K1105" s="394" t="str">
        <f t="shared" si="80"/>
        <v/>
      </c>
    </row>
    <row r="1106" spans="8:11" x14ac:dyDescent="0.25">
      <c r="H1106" s="394" t="str">
        <f t="shared" si="77"/>
        <v/>
      </c>
      <c r="I1106" s="394" t="str">
        <f t="shared" si="78"/>
        <v/>
      </c>
      <c r="J1106" s="394" t="str">
        <f t="shared" si="79"/>
        <v/>
      </c>
      <c r="K1106" s="394" t="str">
        <f t="shared" si="80"/>
        <v/>
      </c>
    </row>
    <row r="1107" spans="8:11" x14ac:dyDescent="0.25">
      <c r="H1107" s="394" t="str">
        <f t="shared" si="77"/>
        <v/>
      </c>
      <c r="I1107" s="394" t="str">
        <f t="shared" si="78"/>
        <v/>
      </c>
      <c r="J1107" s="394" t="str">
        <f t="shared" si="79"/>
        <v/>
      </c>
      <c r="K1107" s="394" t="str">
        <f t="shared" si="80"/>
        <v/>
      </c>
    </row>
    <row r="1108" spans="8:11" x14ac:dyDescent="0.25">
      <c r="H1108" s="394" t="str">
        <f t="shared" si="77"/>
        <v/>
      </c>
      <c r="I1108" s="394" t="str">
        <f t="shared" si="78"/>
        <v/>
      </c>
      <c r="J1108" s="394" t="str">
        <f t="shared" si="79"/>
        <v/>
      </c>
      <c r="K1108" s="394" t="str">
        <f t="shared" si="80"/>
        <v/>
      </c>
    </row>
    <row r="1109" spans="8:11" x14ac:dyDescent="0.25">
      <c r="H1109" s="394" t="str">
        <f t="shared" si="77"/>
        <v/>
      </c>
      <c r="I1109" s="394" t="str">
        <f t="shared" si="78"/>
        <v/>
      </c>
      <c r="J1109" s="394" t="str">
        <f t="shared" si="79"/>
        <v/>
      </c>
      <c r="K1109" s="394" t="str">
        <f t="shared" si="80"/>
        <v/>
      </c>
    </row>
    <row r="1110" spans="8:11" x14ac:dyDescent="0.25">
      <c r="H1110" s="394" t="str">
        <f t="shared" si="77"/>
        <v/>
      </c>
      <c r="I1110" s="394" t="str">
        <f t="shared" si="78"/>
        <v/>
      </c>
      <c r="J1110" s="394" t="str">
        <f t="shared" si="79"/>
        <v/>
      </c>
      <c r="K1110" s="394" t="str">
        <f t="shared" si="80"/>
        <v/>
      </c>
    </row>
    <row r="1111" spans="8:11" x14ac:dyDescent="0.25">
      <c r="H1111" s="394" t="str">
        <f t="shared" si="77"/>
        <v/>
      </c>
      <c r="I1111" s="394" t="str">
        <f t="shared" si="78"/>
        <v/>
      </c>
      <c r="J1111" s="394" t="str">
        <f t="shared" si="79"/>
        <v/>
      </c>
      <c r="K1111" s="394" t="str">
        <f t="shared" si="80"/>
        <v/>
      </c>
    </row>
    <row r="1112" spans="8:11" x14ac:dyDescent="0.25">
      <c r="H1112" s="394" t="str">
        <f t="shared" si="77"/>
        <v/>
      </c>
      <c r="I1112" s="394" t="str">
        <f t="shared" si="78"/>
        <v/>
      </c>
      <c r="J1112" s="394" t="str">
        <f t="shared" si="79"/>
        <v/>
      </c>
      <c r="K1112" s="394" t="str">
        <f t="shared" si="80"/>
        <v/>
      </c>
    </row>
    <row r="1113" spans="8:11" x14ac:dyDescent="0.25">
      <c r="H1113" s="394" t="str">
        <f t="shared" si="77"/>
        <v/>
      </c>
      <c r="I1113" s="394" t="str">
        <f t="shared" si="78"/>
        <v/>
      </c>
      <c r="J1113" s="394" t="str">
        <f t="shared" si="79"/>
        <v/>
      </c>
      <c r="K1113" s="394" t="str">
        <f t="shared" si="80"/>
        <v/>
      </c>
    </row>
    <row r="1114" spans="8:11" x14ac:dyDescent="0.25">
      <c r="H1114" s="394" t="str">
        <f t="shared" si="77"/>
        <v/>
      </c>
      <c r="I1114" s="394" t="str">
        <f t="shared" si="78"/>
        <v/>
      </c>
      <c r="J1114" s="394" t="str">
        <f t="shared" si="79"/>
        <v/>
      </c>
      <c r="K1114" s="394" t="str">
        <f t="shared" si="80"/>
        <v/>
      </c>
    </row>
    <row r="1115" spans="8:11" x14ac:dyDescent="0.25">
      <c r="H1115" s="394" t="str">
        <f t="shared" si="77"/>
        <v/>
      </c>
      <c r="I1115" s="394" t="str">
        <f t="shared" si="78"/>
        <v/>
      </c>
      <c r="J1115" s="394" t="str">
        <f t="shared" si="79"/>
        <v/>
      </c>
      <c r="K1115" s="394" t="str">
        <f t="shared" si="80"/>
        <v/>
      </c>
    </row>
    <row r="1116" spans="8:11" x14ac:dyDescent="0.25">
      <c r="H1116" s="394" t="str">
        <f t="shared" si="77"/>
        <v/>
      </c>
      <c r="I1116" s="394" t="str">
        <f t="shared" si="78"/>
        <v/>
      </c>
      <c r="J1116" s="394" t="str">
        <f t="shared" si="79"/>
        <v/>
      </c>
      <c r="K1116" s="394" t="str">
        <f t="shared" si="80"/>
        <v/>
      </c>
    </row>
    <row r="1117" spans="8:11" x14ac:dyDescent="0.25">
      <c r="H1117" s="394" t="str">
        <f t="shared" si="77"/>
        <v/>
      </c>
      <c r="I1117" s="394" t="str">
        <f t="shared" si="78"/>
        <v/>
      </c>
      <c r="J1117" s="394" t="str">
        <f t="shared" si="79"/>
        <v/>
      </c>
      <c r="K1117" s="394" t="str">
        <f t="shared" si="80"/>
        <v/>
      </c>
    </row>
    <row r="1118" spans="8:11" x14ac:dyDescent="0.25">
      <c r="H1118" s="394" t="str">
        <f t="shared" si="77"/>
        <v/>
      </c>
      <c r="I1118" s="394" t="str">
        <f t="shared" si="78"/>
        <v/>
      </c>
      <c r="J1118" s="394" t="str">
        <f t="shared" si="79"/>
        <v/>
      </c>
      <c r="K1118" s="394" t="str">
        <f t="shared" si="80"/>
        <v/>
      </c>
    </row>
    <row r="1119" spans="8:11" x14ac:dyDescent="0.25">
      <c r="H1119" s="394" t="str">
        <f t="shared" si="77"/>
        <v/>
      </c>
      <c r="I1119" s="394" t="str">
        <f t="shared" si="78"/>
        <v/>
      </c>
      <c r="J1119" s="394" t="str">
        <f t="shared" si="79"/>
        <v/>
      </c>
      <c r="K1119" s="394" t="str">
        <f t="shared" si="80"/>
        <v/>
      </c>
    </row>
    <row r="1120" spans="8:11" x14ac:dyDescent="0.25">
      <c r="H1120" s="394" t="str">
        <f t="shared" si="77"/>
        <v/>
      </c>
      <c r="I1120" s="394" t="str">
        <f t="shared" si="78"/>
        <v/>
      </c>
      <c r="J1120" s="394" t="str">
        <f t="shared" si="79"/>
        <v/>
      </c>
      <c r="K1120" s="394" t="str">
        <f t="shared" si="80"/>
        <v/>
      </c>
    </row>
    <row r="1121" spans="8:11" x14ac:dyDescent="0.25">
      <c r="H1121" s="394" t="str">
        <f t="shared" si="77"/>
        <v/>
      </c>
      <c r="I1121" s="394" t="str">
        <f t="shared" si="78"/>
        <v/>
      </c>
      <c r="J1121" s="394" t="str">
        <f t="shared" si="79"/>
        <v/>
      </c>
      <c r="K1121" s="394" t="str">
        <f t="shared" si="80"/>
        <v/>
      </c>
    </row>
    <row r="1122" spans="8:11" x14ac:dyDescent="0.25">
      <c r="H1122" s="394" t="str">
        <f t="shared" si="77"/>
        <v/>
      </c>
      <c r="I1122" s="394" t="str">
        <f t="shared" si="78"/>
        <v/>
      </c>
      <c r="J1122" s="394" t="str">
        <f t="shared" si="79"/>
        <v/>
      </c>
      <c r="K1122" s="394" t="str">
        <f t="shared" si="80"/>
        <v/>
      </c>
    </row>
    <row r="1123" spans="8:11" x14ac:dyDescent="0.25">
      <c r="H1123" s="394" t="str">
        <f t="shared" si="77"/>
        <v/>
      </c>
      <c r="I1123" s="394" t="str">
        <f t="shared" si="78"/>
        <v/>
      </c>
      <c r="J1123" s="394" t="str">
        <f t="shared" si="79"/>
        <v/>
      </c>
      <c r="K1123" s="394" t="str">
        <f t="shared" si="80"/>
        <v/>
      </c>
    </row>
    <row r="1124" spans="8:11" x14ac:dyDescent="0.25">
      <c r="H1124" s="394" t="str">
        <f t="shared" si="77"/>
        <v/>
      </c>
      <c r="I1124" s="394" t="str">
        <f t="shared" si="78"/>
        <v/>
      </c>
      <c r="J1124" s="394" t="str">
        <f t="shared" si="79"/>
        <v/>
      </c>
      <c r="K1124" s="394" t="str">
        <f t="shared" si="80"/>
        <v/>
      </c>
    </row>
    <row r="1125" spans="8:11" x14ac:dyDescent="0.25">
      <c r="H1125" s="394" t="str">
        <f t="shared" si="77"/>
        <v/>
      </c>
      <c r="I1125" s="394" t="str">
        <f t="shared" si="78"/>
        <v/>
      </c>
      <c r="J1125" s="394" t="str">
        <f t="shared" si="79"/>
        <v/>
      </c>
      <c r="K1125" s="394" t="str">
        <f t="shared" si="80"/>
        <v/>
      </c>
    </row>
    <row r="1126" spans="8:11" x14ac:dyDescent="0.25">
      <c r="H1126" s="394" t="str">
        <f t="shared" si="77"/>
        <v/>
      </c>
      <c r="I1126" s="394" t="str">
        <f t="shared" si="78"/>
        <v/>
      </c>
      <c r="J1126" s="394" t="str">
        <f t="shared" si="79"/>
        <v/>
      </c>
      <c r="K1126" s="394" t="str">
        <f t="shared" si="80"/>
        <v/>
      </c>
    </row>
    <row r="1127" spans="8:11" x14ac:dyDescent="0.25">
      <c r="H1127" s="394" t="str">
        <f t="shared" si="77"/>
        <v/>
      </c>
      <c r="I1127" s="394" t="str">
        <f t="shared" si="78"/>
        <v/>
      </c>
      <c r="J1127" s="394" t="str">
        <f t="shared" si="79"/>
        <v/>
      </c>
      <c r="K1127" s="394" t="str">
        <f t="shared" si="80"/>
        <v/>
      </c>
    </row>
    <row r="1128" spans="8:11" x14ac:dyDescent="0.25">
      <c r="H1128" s="394" t="str">
        <f t="shared" si="77"/>
        <v/>
      </c>
      <c r="I1128" s="394" t="str">
        <f t="shared" si="78"/>
        <v/>
      </c>
      <c r="J1128" s="394" t="str">
        <f t="shared" si="79"/>
        <v/>
      </c>
      <c r="K1128" s="394" t="str">
        <f t="shared" si="80"/>
        <v/>
      </c>
    </row>
    <row r="1129" spans="8:11" x14ac:dyDescent="0.25">
      <c r="H1129" s="394" t="str">
        <f t="shared" ref="H1129:H1192" si="81">IF($C151="","",ROUND(($B$2*$F151*($B$5/1000))/$B$6,2))</f>
        <v/>
      </c>
      <c r="I1129" s="394" t="str">
        <f t="shared" ref="I1129:I1192" si="82">IF($C151="","",ROUND(($B$3*$F151*($B$5/1000))/$B$6,2))</f>
        <v/>
      </c>
      <c r="J1129" s="394" t="str">
        <f t="shared" ref="J1129:J1192" si="83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4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1"/>
        <v/>
      </c>
      <c r="I1130" s="394" t="str">
        <f t="shared" si="82"/>
        <v/>
      </c>
      <c r="J1130" s="394" t="str">
        <f t="shared" si="83"/>
        <v/>
      </c>
      <c r="K1130" s="394" t="str">
        <f t="shared" si="84"/>
        <v/>
      </c>
    </row>
    <row r="1131" spans="8:11" x14ac:dyDescent="0.25">
      <c r="H1131" s="394" t="str">
        <f t="shared" si="81"/>
        <v/>
      </c>
      <c r="I1131" s="394" t="str">
        <f t="shared" si="82"/>
        <v/>
      </c>
      <c r="J1131" s="394" t="str">
        <f t="shared" si="83"/>
        <v/>
      </c>
      <c r="K1131" s="394" t="str">
        <f t="shared" si="84"/>
        <v/>
      </c>
    </row>
    <row r="1132" spans="8:11" x14ac:dyDescent="0.25">
      <c r="H1132" s="394" t="str">
        <f t="shared" si="81"/>
        <v/>
      </c>
      <c r="I1132" s="394" t="str">
        <f t="shared" si="82"/>
        <v/>
      </c>
      <c r="J1132" s="394" t="str">
        <f t="shared" si="83"/>
        <v/>
      </c>
      <c r="K1132" s="394" t="str">
        <f t="shared" si="84"/>
        <v/>
      </c>
    </row>
    <row r="1133" spans="8:11" x14ac:dyDescent="0.25">
      <c r="H1133" s="394" t="str">
        <f t="shared" si="81"/>
        <v/>
      </c>
      <c r="I1133" s="394" t="str">
        <f t="shared" si="82"/>
        <v/>
      </c>
      <c r="J1133" s="394" t="str">
        <f t="shared" si="83"/>
        <v/>
      </c>
      <c r="K1133" s="394" t="str">
        <f t="shared" si="84"/>
        <v/>
      </c>
    </row>
    <row r="1134" spans="8:11" x14ac:dyDescent="0.25">
      <c r="H1134" s="394" t="str">
        <f t="shared" si="81"/>
        <v/>
      </c>
      <c r="I1134" s="394" t="str">
        <f t="shared" si="82"/>
        <v/>
      </c>
      <c r="J1134" s="394" t="str">
        <f t="shared" si="83"/>
        <v/>
      </c>
      <c r="K1134" s="394" t="str">
        <f t="shared" si="84"/>
        <v/>
      </c>
    </row>
    <row r="1135" spans="8:11" x14ac:dyDescent="0.25">
      <c r="H1135" s="394" t="str">
        <f t="shared" si="81"/>
        <v/>
      </c>
      <c r="I1135" s="394" t="str">
        <f t="shared" si="82"/>
        <v/>
      </c>
      <c r="J1135" s="394" t="str">
        <f t="shared" si="83"/>
        <v/>
      </c>
      <c r="K1135" s="394" t="str">
        <f t="shared" si="84"/>
        <v/>
      </c>
    </row>
    <row r="1136" spans="8:11" x14ac:dyDescent="0.25">
      <c r="H1136" s="394" t="str">
        <f t="shared" si="81"/>
        <v/>
      </c>
      <c r="I1136" s="394" t="str">
        <f t="shared" si="82"/>
        <v/>
      </c>
      <c r="J1136" s="394" t="str">
        <f t="shared" si="83"/>
        <v/>
      </c>
      <c r="K1136" s="394" t="str">
        <f t="shared" si="84"/>
        <v/>
      </c>
    </row>
    <row r="1137" spans="8:11" x14ac:dyDescent="0.25">
      <c r="H1137" s="394" t="str">
        <f t="shared" si="81"/>
        <v/>
      </c>
      <c r="I1137" s="394" t="str">
        <f t="shared" si="82"/>
        <v/>
      </c>
      <c r="J1137" s="394" t="str">
        <f t="shared" si="83"/>
        <v/>
      </c>
      <c r="K1137" s="394" t="str">
        <f t="shared" si="84"/>
        <v/>
      </c>
    </row>
    <row r="1138" spans="8:11" x14ac:dyDescent="0.25">
      <c r="H1138" s="394" t="str">
        <f t="shared" si="81"/>
        <v/>
      </c>
      <c r="I1138" s="394" t="str">
        <f t="shared" si="82"/>
        <v/>
      </c>
      <c r="J1138" s="394" t="str">
        <f t="shared" si="83"/>
        <v/>
      </c>
      <c r="K1138" s="394" t="str">
        <f t="shared" si="84"/>
        <v/>
      </c>
    </row>
    <row r="1139" spans="8:11" x14ac:dyDescent="0.25">
      <c r="H1139" s="394" t="str">
        <f t="shared" si="81"/>
        <v/>
      </c>
      <c r="I1139" s="394" t="str">
        <f t="shared" si="82"/>
        <v/>
      </c>
      <c r="J1139" s="394" t="str">
        <f t="shared" si="83"/>
        <v/>
      </c>
      <c r="K1139" s="394" t="str">
        <f t="shared" si="84"/>
        <v/>
      </c>
    </row>
    <row r="1140" spans="8:11" x14ac:dyDescent="0.25">
      <c r="H1140" s="394" t="str">
        <f t="shared" si="81"/>
        <v/>
      </c>
      <c r="I1140" s="394" t="str">
        <f t="shared" si="82"/>
        <v/>
      </c>
      <c r="J1140" s="394" t="str">
        <f t="shared" si="83"/>
        <v/>
      </c>
      <c r="K1140" s="394" t="str">
        <f t="shared" si="84"/>
        <v/>
      </c>
    </row>
    <row r="1141" spans="8:11" x14ac:dyDescent="0.25">
      <c r="H1141" s="394" t="str">
        <f t="shared" si="81"/>
        <v/>
      </c>
      <c r="I1141" s="394" t="str">
        <f t="shared" si="82"/>
        <v/>
      </c>
      <c r="J1141" s="394" t="str">
        <f t="shared" si="83"/>
        <v/>
      </c>
      <c r="K1141" s="394" t="str">
        <f t="shared" si="84"/>
        <v/>
      </c>
    </row>
    <row r="1142" spans="8:11" x14ac:dyDescent="0.25">
      <c r="H1142" s="394" t="str">
        <f t="shared" si="81"/>
        <v/>
      </c>
      <c r="I1142" s="394" t="str">
        <f t="shared" si="82"/>
        <v/>
      </c>
      <c r="J1142" s="394" t="str">
        <f t="shared" si="83"/>
        <v/>
      </c>
      <c r="K1142" s="394" t="str">
        <f t="shared" si="84"/>
        <v/>
      </c>
    </row>
    <row r="1143" spans="8:11" x14ac:dyDescent="0.25">
      <c r="H1143" s="394" t="str">
        <f t="shared" si="81"/>
        <v/>
      </c>
      <c r="I1143" s="394" t="str">
        <f t="shared" si="82"/>
        <v/>
      </c>
      <c r="J1143" s="394" t="str">
        <f t="shared" si="83"/>
        <v/>
      </c>
      <c r="K1143" s="394" t="str">
        <f t="shared" si="84"/>
        <v/>
      </c>
    </row>
    <row r="1144" spans="8:11" x14ac:dyDescent="0.25">
      <c r="H1144" s="394" t="str">
        <f t="shared" si="81"/>
        <v/>
      </c>
      <c r="I1144" s="394" t="str">
        <f t="shared" si="82"/>
        <v/>
      </c>
      <c r="J1144" s="394" t="str">
        <f t="shared" si="83"/>
        <v/>
      </c>
      <c r="K1144" s="394" t="str">
        <f t="shared" si="84"/>
        <v/>
      </c>
    </row>
    <row r="1145" spans="8:11" x14ac:dyDescent="0.25">
      <c r="H1145" s="394" t="str">
        <f t="shared" si="81"/>
        <v/>
      </c>
      <c r="I1145" s="394" t="str">
        <f t="shared" si="82"/>
        <v/>
      </c>
      <c r="J1145" s="394" t="str">
        <f t="shared" si="83"/>
        <v/>
      </c>
      <c r="K1145" s="394" t="str">
        <f t="shared" si="84"/>
        <v/>
      </c>
    </row>
    <row r="1146" spans="8:11" x14ac:dyDescent="0.25">
      <c r="H1146" s="394" t="str">
        <f t="shared" si="81"/>
        <v/>
      </c>
      <c r="I1146" s="394" t="str">
        <f t="shared" si="82"/>
        <v/>
      </c>
      <c r="J1146" s="394" t="str">
        <f t="shared" si="83"/>
        <v/>
      </c>
      <c r="K1146" s="394" t="str">
        <f t="shared" si="84"/>
        <v/>
      </c>
    </row>
    <row r="1147" spans="8:11" x14ac:dyDescent="0.25">
      <c r="H1147" s="394" t="str">
        <f t="shared" si="81"/>
        <v/>
      </c>
      <c r="I1147" s="394" t="str">
        <f t="shared" si="82"/>
        <v/>
      </c>
      <c r="J1147" s="394" t="str">
        <f t="shared" si="83"/>
        <v/>
      </c>
      <c r="K1147" s="394" t="str">
        <f t="shared" si="84"/>
        <v/>
      </c>
    </row>
    <row r="1148" spans="8:11" x14ac:dyDescent="0.25">
      <c r="H1148" s="394" t="str">
        <f t="shared" si="81"/>
        <v/>
      </c>
      <c r="I1148" s="394" t="str">
        <f t="shared" si="82"/>
        <v/>
      </c>
      <c r="J1148" s="394" t="str">
        <f t="shared" si="83"/>
        <v/>
      </c>
      <c r="K1148" s="394" t="str">
        <f t="shared" si="84"/>
        <v/>
      </c>
    </row>
    <row r="1149" spans="8:11" x14ac:dyDescent="0.25">
      <c r="H1149" s="394" t="str">
        <f t="shared" si="81"/>
        <v/>
      </c>
      <c r="I1149" s="394" t="str">
        <f t="shared" si="82"/>
        <v/>
      </c>
      <c r="J1149" s="394" t="str">
        <f t="shared" si="83"/>
        <v/>
      </c>
      <c r="K1149" s="394" t="str">
        <f t="shared" si="84"/>
        <v/>
      </c>
    </row>
    <row r="1150" spans="8:11" x14ac:dyDescent="0.25">
      <c r="H1150" s="394" t="str">
        <f t="shared" si="81"/>
        <v/>
      </c>
      <c r="I1150" s="394" t="str">
        <f t="shared" si="82"/>
        <v/>
      </c>
      <c r="J1150" s="394" t="str">
        <f t="shared" si="83"/>
        <v/>
      </c>
      <c r="K1150" s="394" t="str">
        <f t="shared" si="84"/>
        <v/>
      </c>
    </row>
    <row r="1151" spans="8:11" x14ac:dyDescent="0.25">
      <c r="H1151" s="394" t="str">
        <f t="shared" si="81"/>
        <v/>
      </c>
      <c r="I1151" s="394" t="str">
        <f t="shared" si="82"/>
        <v/>
      </c>
      <c r="J1151" s="394" t="str">
        <f t="shared" si="83"/>
        <v/>
      </c>
      <c r="K1151" s="394" t="str">
        <f t="shared" si="84"/>
        <v/>
      </c>
    </row>
    <row r="1152" spans="8:11" x14ac:dyDescent="0.25">
      <c r="H1152" s="394" t="str">
        <f t="shared" si="81"/>
        <v/>
      </c>
      <c r="I1152" s="394" t="str">
        <f t="shared" si="82"/>
        <v/>
      </c>
      <c r="J1152" s="394" t="str">
        <f t="shared" si="83"/>
        <v/>
      </c>
      <c r="K1152" s="394" t="str">
        <f t="shared" si="84"/>
        <v/>
      </c>
    </row>
    <row r="1153" spans="8:11" x14ac:dyDescent="0.25">
      <c r="H1153" s="394" t="str">
        <f t="shared" si="81"/>
        <v/>
      </c>
      <c r="I1153" s="394" t="str">
        <f t="shared" si="82"/>
        <v/>
      </c>
      <c r="J1153" s="394" t="str">
        <f t="shared" si="83"/>
        <v/>
      </c>
      <c r="K1153" s="394" t="str">
        <f t="shared" si="84"/>
        <v/>
      </c>
    </row>
    <row r="1154" spans="8:11" x14ac:dyDescent="0.25">
      <c r="H1154" s="394" t="str">
        <f t="shared" si="81"/>
        <v/>
      </c>
      <c r="I1154" s="394" t="str">
        <f t="shared" si="82"/>
        <v/>
      </c>
      <c r="J1154" s="394" t="str">
        <f t="shared" si="83"/>
        <v/>
      </c>
      <c r="K1154" s="394" t="str">
        <f t="shared" si="84"/>
        <v/>
      </c>
    </row>
    <row r="1155" spans="8:11" x14ac:dyDescent="0.25">
      <c r="H1155" s="394" t="str">
        <f t="shared" si="81"/>
        <v/>
      </c>
      <c r="I1155" s="394" t="str">
        <f t="shared" si="82"/>
        <v/>
      </c>
      <c r="J1155" s="394" t="str">
        <f t="shared" si="83"/>
        <v/>
      </c>
      <c r="K1155" s="394" t="str">
        <f t="shared" si="84"/>
        <v/>
      </c>
    </row>
    <row r="1156" spans="8:11" x14ac:dyDescent="0.25">
      <c r="H1156" s="394" t="str">
        <f t="shared" si="81"/>
        <v/>
      </c>
      <c r="I1156" s="394" t="str">
        <f t="shared" si="82"/>
        <v/>
      </c>
      <c r="J1156" s="394" t="str">
        <f t="shared" si="83"/>
        <v/>
      </c>
      <c r="K1156" s="394" t="str">
        <f t="shared" si="84"/>
        <v/>
      </c>
    </row>
    <row r="1157" spans="8:11" x14ac:dyDescent="0.25">
      <c r="H1157" s="394" t="str">
        <f t="shared" si="81"/>
        <v/>
      </c>
      <c r="I1157" s="394" t="str">
        <f t="shared" si="82"/>
        <v/>
      </c>
      <c r="J1157" s="394" t="str">
        <f t="shared" si="83"/>
        <v/>
      </c>
      <c r="K1157" s="394" t="str">
        <f t="shared" si="84"/>
        <v/>
      </c>
    </row>
    <row r="1158" spans="8:11" x14ac:dyDescent="0.25">
      <c r="H1158" s="394" t="str">
        <f t="shared" si="81"/>
        <v/>
      </c>
      <c r="I1158" s="394" t="str">
        <f t="shared" si="82"/>
        <v/>
      </c>
      <c r="J1158" s="394" t="str">
        <f t="shared" si="83"/>
        <v/>
      </c>
      <c r="K1158" s="394" t="str">
        <f t="shared" si="84"/>
        <v/>
      </c>
    </row>
    <row r="1159" spans="8:11" x14ac:dyDescent="0.25">
      <c r="H1159" s="394" t="str">
        <f t="shared" si="81"/>
        <v/>
      </c>
      <c r="I1159" s="394" t="str">
        <f t="shared" si="82"/>
        <v/>
      </c>
      <c r="J1159" s="394" t="str">
        <f t="shared" si="83"/>
        <v/>
      </c>
      <c r="K1159" s="394" t="str">
        <f t="shared" si="84"/>
        <v/>
      </c>
    </row>
    <row r="1160" spans="8:11" x14ac:dyDescent="0.25">
      <c r="H1160" s="394" t="str">
        <f t="shared" si="81"/>
        <v/>
      </c>
      <c r="I1160" s="394" t="str">
        <f t="shared" si="82"/>
        <v/>
      </c>
      <c r="J1160" s="394" t="str">
        <f t="shared" si="83"/>
        <v/>
      </c>
      <c r="K1160" s="394" t="str">
        <f t="shared" si="84"/>
        <v/>
      </c>
    </row>
    <row r="1161" spans="8:11" x14ac:dyDescent="0.25">
      <c r="H1161" s="394" t="str">
        <f t="shared" si="81"/>
        <v/>
      </c>
      <c r="I1161" s="394" t="str">
        <f t="shared" si="82"/>
        <v/>
      </c>
      <c r="J1161" s="394" t="str">
        <f t="shared" si="83"/>
        <v/>
      </c>
      <c r="K1161" s="394" t="str">
        <f t="shared" si="84"/>
        <v/>
      </c>
    </row>
    <row r="1162" spans="8:11" x14ac:dyDescent="0.25">
      <c r="H1162" s="394" t="str">
        <f t="shared" si="81"/>
        <v/>
      </c>
      <c r="I1162" s="394" t="str">
        <f t="shared" si="82"/>
        <v/>
      </c>
      <c r="J1162" s="394" t="str">
        <f t="shared" si="83"/>
        <v/>
      </c>
      <c r="K1162" s="394" t="str">
        <f t="shared" si="84"/>
        <v/>
      </c>
    </row>
    <row r="1163" spans="8:11" x14ac:dyDescent="0.25">
      <c r="H1163" s="394" t="str">
        <f t="shared" si="81"/>
        <v/>
      </c>
      <c r="I1163" s="394" t="str">
        <f t="shared" si="82"/>
        <v/>
      </c>
      <c r="J1163" s="394" t="str">
        <f t="shared" si="83"/>
        <v/>
      </c>
      <c r="K1163" s="394" t="str">
        <f t="shared" si="84"/>
        <v/>
      </c>
    </row>
    <row r="1164" spans="8:11" x14ac:dyDescent="0.25">
      <c r="H1164" s="394" t="str">
        <f t="shared" si="81"/>
        <v/>
      </c>
      <c r="I1164" s="394" t="str">
        <f t="shared" si="82"/>
        <v/>
      </c>
      <c r="J1164" s="394" t="str">
        <f t="shared" si="83"/>
        <v/>
      </c>
      <c r="K1164" s="394" t="str">
        <f t="shared" si="84"/>
        <v/>
      </c>
    </row>
    <row r="1165" spans="8:11" x14ac:dyDescent="0.25">
      <c r="H1165" s="394" t="str">
        <f t="shared" si="81"/>
        <v/>
      </c>
      <c r="I1165" s="394" t="str">
        <f t="shared" si="82"/>
        <v/>
      </c>
      <c r="J1165" s="394" t="str">
        <f t="shared" si="83"/>
        <v/>
      </c>
      <c r="K1165" s="394" t="str">
        <f t="shared" si="84"/>
        <v/>
      </c>
    </row>
    <row r="1166" spans="8:11" x14ac:dyDescent="0.25">
      <c r="H1166" s="394" t="str">
        <f t="shared" si="81"/>
        <v/>
      </c>
      <c r="I1166" s="394" t="str">
        <f t="shared" si="82"/>
        <v/>
      </c>
      <c r="J1166" s="394" t="str">
        <f t="shared" si="83"/>
        <v/>
      </c>
      <c r="K1166" s="394" t="str">
        <f t="shared" si="84"/>
        <v/>
      </c>
    </row>
    <row r="1167" spans="8:11" x14ac:dyDescent="0.25">
      <c r="H1167" s="394" t="str">
        <f t="shared" si="81"/>
        <v/>
      </c>
      <c r="I1167" s="394" t="str">
        <f t="shared" si="82"/>
        <v/>
      </c>
      <c r="J1167" s="394" t="str">
        <f t="shared" si="83"/>
        <v/>
      </c>
      <c r="K1167" s="394" t="str">
        <f t="shared" si="84"/>
        <v/>
      </c>
    </row>
    <row r="1168" spans="8:11" x14ac:dyDescent="0.25">
      <c r="H1168" s="394" t="str">
        <f t="shared" si="81"/>
        <v/>
      </c>
      <c r="I1168" s="394" t="str">
        <f t="shared" si="82"/>
        <v/>
      </c>
      <c r="J1168" s="394" t="str">
        <f t="shared" si="83"/>
        <v/>
      </c>
      <c r="K1168" s="394" t="str">
        <f t="shared" si="84"/>
        <v/>
      </c>
    </row>
    <row r="1169" spans="8:11" x14ac:dyDescent="0.25">
      <c r="H1169" s="394" t="str">
        <f t="shared" si="81"/>
        <v/>
      </c>
      <c r="I1169" s="394" t="str">
        <f t="shared" si="82"/>
        <v/>
      </c>
      <c r="J1169" s="394" t="str">
        <f t="shared" si="83"/>
        <v/>
      </c>
      <c r="K1169" s="394" t="str">
        <f t="shared" si="84"/>
        <v/>
      </c>
    </row>
    <row r="1170" spans="8:11" x14ac:dyDescent="0.25">
      <c r="H1170" s="394" t="str">
        <f t="shared" si="81"/>
        <v/>
      </c>
      <c r="I1170" s="394" t="str">
        <f t="shared" si="82"/>
        <v/>
      </c>
      <c r="J1170" s="394" t="str">
        <f t="shared" si="83"/>
        <v/>
      </c>
      <c r="K1170" s="394" t="str">
        <f t="shared" si="84"/>
        <v/>
      </c>
    </row>
    <row r="1171" spans="8:11" x14ac:dyDescent="0.25">
      <c r="H1171" s="394" t="str">
        <f t="shared" si="81"/>
        <v/>
      </c>
      <c r="I1171" s="394" t="str">
        <f t="shared" si="82"/>
        <v/>
      </c>
      <c r="J1171" s="394" t="str">
        <f t="shared" si="83"/>
        <v/>
      </c>
      <c r="K1171" s="394" t="str">
        <f t="shared" si="84"/>
        <v/>
      </c>
    </row>
    <row r="1172" spans="8:11" x14ac:dyDescent="0.25">
      <c r="H1172" s="394" t="str">
        <f t="shared" si="81"/>
        <v/>
      </c>
      <c r="I1172" s="394" t="str">
        <f t="shared" si="82"/>
        <v/>
      </c>
      <c r="J1172" s="394" t="str">
        <f t="shared" si="83"/>
        <v/>
      </c>
      <c r="K1172" s="394" t="str">
        <f t="shared" si="84"/>
        <v/>
      </c>
    </row>
    <row r="1173" spans="8:11" x14ac:dyDescent="0.25">
      <c r="H1173" s="394" t="str">
        <f t="shared" si="81"/>
        <v/>
      </c>
      <c r="I1173" s="394" t="str">
        <f t="shared" si="82"/>
        <v/>
      </c>
      <c r="J1173" s="394" t="str">
        <f t="shared" si="83"/>
        <v/>
      </c>
      <c r="K1173" s="394" t="str">
        <f t="shared" si="84"/>
        <v/>
      </c>
    </row>
    <row r="1174" spans="8:11" x14ac:dyDescent="0.25">
      <c r="H1174" s="394" t="str">
        <f t="shared" si="81"/>
        <v/>
      </c>
      <c r="I1174" s="394" t="str">
        <f t="shared" si="82"/>
        <v/>
      </c>
      <c r="J1174" s="394" t="str">
        <f t="shared" si="83"/>
        <v/>
      </c>
      <c r="K1174" s="394" t="str">
        <f t="shared" si="84"/>
        <v/>
      </c>
    </row>
    <row r="1175" spans="8:11" x14ac:dyDescent="0.25">
      <c r="H1175" s="394" t="str">
        <f t="shared" si="81"/>
        <v/>
      </c>
      <c r="I1175" s="394" t="str">
        <f t="shared" si="82"/>
        <v/>
      </c>
      <c r="J1175" s="394" t="str">
        <f t="shared" si="83"/>
        <v/>
      </c>
      <c r="K1175" s="394" t="str">
        <f t="shared" si="84"/>
        <v/>
      </c>
    </row>
    <row r="1176" spans="8:11" x14ac:dyDescent="0.25">
      <c r="H1176" s="394" t="str">
        <f t="shared" si="81"/>
        <v/>
      </c>
      <c r="I1176" s="394" t="str">
        <f t="shared" si="82"/>
        <v/>
      </c>
      <c r="J1176" s="394" t="str">
        <f t="shared" si="83"/>
        <v/>
      </c>
      <c r="K1176" s="394" t="str">
        <f t="shared" si="84"/>
        <v/>
      </c>
    </row>
    <row r="1177" spans="8:11" x14ac:dyDescent="0.25">
      <c r="H1177" s="394" t="str">
        <f t="shared" si="81"/>
        <v/>
      </c>
      <c r="I1177" s="394" t="str">
        <f t="shared" si="82"/>
        <v/>
      </c>
      <c r="J1177" s="394" t="str">
        <f t="shared" si="83"/>
        <v/>
      </c>
      <c r="K1177" s="394" t="str">
        <f t="shared" si="84"/>
        <v/>
      </c>
    </row>
    <row r="1178" spans="8:11" x14ac:dyDescent="0.25">
      <c r="H1178" s="394" t="str">
        <f t="shared" si="81"/>
        <v/>
      </c>
      <c r="I1178" s="394" t="str">
        <f t="shared" si="82"/>
        <v/>
      </c>
      <c r="J1178" s="394" t="str">
        <f t="shared" si="83"/>
        <v/>
      </c>
      <c r="K1178" s="394" t="str">
        <f t="shared" si="84"/>
        <v/>
      </c>
    </row>
    <row r="1179" spans="8:11" x14ac:dyDescent="0.25">
      <c r="H1179" s="394" t="str">
        <f t="shared" si="81"/>
        <v/>
      </c>
      <c r="I1179" s="394" t="str">
        <f t="shared" si="82"/>
        <v/>
      </c>
      <c r="J1179" s="394" t="str">
        <f t="shared" si="83"/>
        <v/>
      </c>
      <c r="K1179" s="394" t="str">
        <f t="shared" si="84"/>
        <v/>
      </c>
    </row>
    <row r="1180" spans="8:11" x14ac:dyDescent="0.25">
      <c r="H1180" s="394" t="str">
        <f t="shared" si="81"/>
        <v/>
      </c>
      <c r="I1180" s="394" t="str">
        <f t="shared" si="82"/>
        <v/>
      </c>
      <c r="J1180" s="394" t="str">
        <f t="shared" si="83"/>
        <v/>
      </c>
      <c r="K1180" s="394" t="str">
        <f t="shared" si="84"/>
        <v/>
      </c>
    </row>
    <row r="1181" spans="8:11" x14ac:dyDescent="0.25">
      <c r="H1181" s="394" t="str">
        <f t="shared" si="81"/>
        <v/>
      </c>
      <c r="I1181" s="394" t="str">
        <f t="shared" si="82"/>
        <v/>
      </c>
      <c r="J1181" s="394" t="str">
        <f t="shared" si="83"/>
        <v/>
      </c>
      <c r="K1181" s="394" t="str">
        <f t="shared" si="84"/>
        <v/>
      </c>
    </row>
    <row r="1182" spans="8:11" x14ac:dyDescent="0.25">
      <c r="H1182" s="394" t="str">
        <f t="shared" si="81"/>
        <v/>
      </c>
      <c r="I1182" s="394" t="str">
        <f t="shared" si="82"/>
        <v/>
      </c>
      <c r="J1182" s="394" t="str">
        <f t="shared" si="83"/>
        <v/>
      </c>
      <c r="K1182" s="394" t="str">
        <f t="shared" si="84"/>
        <v/>
      </c>
    </row>
    <row r="1183" spans="8:11" x14ac:dyDescent="0.25">
      <c r="H1183" s="394" t="str">
        <f t="shared" si="81"/>
        <v/>
      </c>
      <c r="I1183" s="394" t="str">
        <f t="shared" si="82"/>
        <v/>
      </c>
      <c r="J1183" s="394" t="str">
        <f t="shared" si="83"/>
        <v/>
      </c>
      <c r="K1183" s="394" t="str">
        <f t="shared" si="84"/>
        <v/>
      </c>
    </row>
    <row r="1184" spans="8:11" x14ac:dyDescent="0.25">
      <c r="H1184" s="394" t="str">
        <f t="shared" si="81"/>
        <v/>
      </c>
      <c r="I1184" s="394" t="str">
        <f t="shared" si="82"/>
        <v/>
      </c>
      <c r="J1184" s="394" t="str">
        <f t="shared" si="83"/>
        <v/>
      </c>
      <c r="K1184" s="394" t="str">
        <f t="shared" si="84"/>
        <v/>
      </c>
    </row>
    <row r="1185" spans="8:11" x14ac:dyDescent="0.25">
      <c r="H1185" s="394" t="str">
        <f t="shared" si="81"/>
        <v/>
      </c>
      <c r="I1185" s="394" t="str">
        <f t="shared" si="82"/>
        <v/>
      </c>
      <c r="J1185" s="394" t="str">
        <f t="shared" si="83"/>
        <v/>
      </c>
      <c r="K1185" s="394" t="str">
        <f t="shared" si="84"/>
        <v/>
      </c>
    </row>
    <row r="1186" spans="8:11" x14ac:dyDescent="0.25">
      <c r="H1186" s="394" t="str">
        <f t="shared" si="81"/>
        <v/>
      </c>
      <c r="I1186" s="394" t="str">
        <f t="shared" si="82"/>
        <v/>
      </c>
      <c r="J1186" s="394" t="str">
        <f t="shared" si="83"/>
        <v/>
      </c>
      <c r="K1186" s="394" t="str">
        <f t="shared" si="84"/>
        <v/>
      </c>
    </row>
    <row r="1187" spans="8:11" x14ac:dyDescent="0.25">
      <c r="H1187" s="394" t="str">
        <f t="shared" si="81"/>
        <v/>
      </c>
      <c r="I1187" s="394" t="str">
        <f t="shared" si="82"/>
        <v/>
      </c>
      <c r="J1187" s="394" t="str">
        <f t="shared" si="83"/>
        <v/>
      </c>
      <c r="K1187" s="394" t="str">
        <f t="shared" si="84"/>
        <v/>
      </c>
    </row>
    <row r="1188" spans="8:11" x14ac:dyDescent="0.25">
      <c r="H1188" s="394" t="str">
        <f t="shared" si="81"/>
        <v/>
      </c>
      <c r="I1188" s="394" t="str">
        <f t="shared" si="82"/>
        <v/>
      </c>
      <c r="J1188" s="394" t="str">
        <f t="shared" si="83"/>
        <v/>
      </c>
      <c r="K1188" s="394" t="str">
        <f t="shared" si="84"/>
        <v/>
      </c>
    </row>
    <row r="1189" spans="8:11" x14ac:dyDescent="0.25">
      <c r="H1189" s="394" t="str">
        <f t="shared" si="81"/>
        <v/>
      </c>
      <c r="I1189" s="394" t="str">
        <f t="shared" si="82"/>
        <v/>
      </c>
      <c r="J1189" s="394" t="str">
        <f t="shared" si="83"/>
        <v/>
      </c>
      <c r="K1189" s="394" t="str">
        <f t="shared" si="84"/>
        <v/>
      </c>
    </row>
    <row r="1190" spans="8:11" x14ac:dyDescent="0.25">
      <c r="H1190" s="394" t="str">
        <f t="shared" si="81"/>
        <v/>
      </c>
      <c r="I1190" s="394" t="str">
        <f t="shared" si="82"/>
        <v/>
      </c>
      <c r="J1190" s="394" t="str">
        <f t="shared" si="83"/>
        <v/>
      </c>
      <c r="K1190" s="394" t="str">
        <f t="shared" si="84"/>
        <v/>
      </c>
    </row>
    <row r="1191" spans="8:11" x14ac:dyDescent="0.25">
      <c r="H1191" s="394" t="str">
        <f t="shared" si="81"/>
        <v/>
      </c>
      <c r="I1191" s="394" t="str">
        <f t="shared" si="82"/>
        <v/>
      </c>
      <c r="J1191" s="394" t="str">
        <f t="shared" si="83"/>
        <v/>
      </c>
      <c r="K1191" s="394" t="str">
        <f t="shared" si="84"/>
        <v/>
      </c>
    </row>
    <row r="1192" spans="8:11" x14ac:dyDescent="0.25">
      <c r="H1192" s="394" t="str">
        <f t="shared" si="81"/>
        <v/>
      </c>
      <c r="I1192" s="394" t="str">
        <f t="shared" si="82"/>
        <v/>
      </c>
      <c r="J1192" s="394" t="str">
        <f t="shared" si="83"/>
        <v/>
      </c>
      <c r="K1192" s="394" t="str">
        <f t="shared" si="84"/>
        <v/>
      </c>
    </row>
    <row r="1193" spans="8:11" x14ac:dyDescent="0.25">
      <c r="H1193" s="394" t="str">
        <f t="shared" ref="H1193:H1256" si="85">IF($C215="","",ROUND(($B$2*$F215*($B$5/1000))/$B$6,2))</f>
        <v/>
      </c>
      <c r="I1193" s="394" t="str">
        <f t="shared" ref="I1193:I1256" si="86">IF($C215="","",ROUND(($B$3*$F215*($B$5/1000))/$B$6,2))</f>
        <v/>
      </c>
      <c r="J1193" s="394" t="str">
        <f t="shared" ref="J1193:J1256" si="87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88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5"/>
        <v/>
      </c>
      <c r="I1194" s="394" t="str">
        <f t="shared" si="86"/>
        <v/>
      </c>
      <c r="J1194" s="394" t="str">
        <f t="shared" si="87"/>
        <v/>
      </c>
      <c r="K1194" s="394" t="str">
        <f t="shared" si="88"/>
        <v/>
      </c>
    </row>
    <row r="1195" spans="8:11" x14ac:dyDescent="0.25">
      <c r="H1195" s="394" t="str">
        <f t="shared" si="85"/>
        <v/>
      </c>
      <c r="I1195" s="394" t="str">
        <f t="shared" si="86"/>
        <v/>
      </c>
      <c r="J1195" s="394" t="str">
        <f t="shared" si="87"/>
        <v/>
      </c>
      <c r="K1195" s="394" t="str">
        <f t="shared" si="88"/>
        <v/>
      </c>
    </row>
    <row r="1196" spans="8:11" x14ac:dyDescent="0.25">
      <c r="H1196" s="394" t="str">
        <f t="shared" si="85"/>
        <v/>
      </c>
      <c r="I1196" s="394" t="str">
        <f t="shared" si="86"/>
        <v/>
      </c>
      <c r="J1196" s="394" t="str">
        <f t="shared" si="87"/>
        <v/>
      </c>
      <c r="K1196" s="394" t="str">
        <f t="shared" si="88"/>
        <v/>
      </c>
    </row>
    <row r="1197" spans="8:11" x14ac:dyDescent="0.25">
      <c r="H1197" s="394" t="str">
        <f t="shared" si="85"/>
        <v/>
      </c>
      <c r="I1197" s="394" t="str">
        <f t="shared" si="86"/>
        <v/>
      </c>
      <c r="J1197" s="394" t="str">
        <f t="shared" si="87"/>
        <v/>
      </c>
      <c r="K1197" s="394" t="str">
        <f t="shared" si="88"/>
        <v/>
      </c>
    </row>
    <row r="1198" spans="8:11" x14ac:dyDescent="0.25">
      <c r="H1198" s="394" t="str">
        <f t="shared" si="85"/>
        <v/>
      </c>
      <c r="I1198" s="394" t="str">
        <f t="shared" si="86"/>
        <v/>
      </c>
      <c r="J1198" s="394" t="str">
        <f t="shared" si="87"/>
        <v/>
      </c>
      <c r="K1198" s="394" t="str">
        <f t="shared" si="88"/>
        <v/>
      </c>
    </row>
    <row r="1199" spans="8:11" x14ac:dyDescent="0.25">
      <c r="H1199" s="394" t="str">
        <f t="shared" si="85"/>
        <v/>
      </c>
      <c r="I1199" s="394" t="str">
        <f t="shared" si="86"/>
        <v/>
      </c>
      <c r="J1199" s="394" t="str">
        <f t="shared" si="87"/>
        <v/>
      </c>
      <c r="K1199" s="394" t="str">
        <f t="shared" si="88"/>
        <v/>
      </c>
    </row>
    <row r="1200" spans="8:11" x14ac:dyDescent="0.25">
      <c r="H1200" s="394" t="str">
        <f t="shared" si="85"/>
        <v/>
      </c>
      <c r="I1200" s="394" t="str">
        <f t="shared" si="86"/>
        <v/>
      </c>
      <c r="J1200" s="394" t="str">
        <f t="shared" si="87"/>
        <v/>
      </c>
      <c r="K1200" s="394" t="str">
        <f t="shared" si="88"/>
        <v/>
      </c>
    </row>
    <row r="1201" spans="8:11" x14ac:dyDescent="0.25">
      <c r="H1201" s="394" t="str">
        <f t="shared" si="85"/>
        <v/>
      </c>
      <c r="I1201" s="394" t="str">
        <f t="shared" si="86"/>
        <v/>
      </c>
      <c r="J1201" s="394" t="str">
        <f t="shared" si="87"/>
        <v/>
      </c>
      <c r="K1201" s="394" t="str">
        <f t="shared" si="88"/>
        <v/>
      </c>
    </row>
    <row r="1202" spans="8:11" x14ac:dyDescent="0.25">
      <c r="H1202" s="394" t="str">
        <f t="shared" si="85"/>
        <v/>
      </c>
      <c r="I1202" s="394" t="str">
        <f t="shared" si="86"/>
        <v/>
      </c>
      <c r="J1202" s="394" t="str">
        <f t="shared" si="87"/>
        <v/>
      </c>
      <c r="K1202" s="394" t="str">
        <f t="shared" si="88"/>
        <v/>
      </c>
    </row>
    <row r="1203" spans="8:11" x14ac:dyDescent="0.25">
      <c r="H1203" s="394" t="str">
        <f t="shared" si="85"/>
        <v/>
      </c>
      <c r="I1203" s="394" t="str">
        <f t="shared" si="86"/>
        <v/>
      </c>
      <c r="J1203" s="394" t="str">
        <f t="shared" si="87"/>
        <v/>
      </c>
      <c r="K1203" s="394" t="str">
        <f t="shared" si="88"/>
        <v/>
      </c>
    </row>
    <row r="1204" spans="8:11" x14ac:dyDescent="0.25">
      <c r="H1204" s="394" t="str">
        <f t="shared" si="85"/>
        <v/>
      </c>
      <c r="I1204" s="394" t="str">
        <f t="shared" si="86"/>
        <v/>
      </c>
      <c r="J1204" s="394" t="str">
        <f t="shared" si="87"/>
        <v/>
      </c>
      <c r="K1204" s="394" t="str">
        <f t="shared" si="88"/>
        <v/>
      </c>
    </row>
    <row r="1205" spans="8:11" x14ac:dyDescent="0.25">
      <c r="H1205" s="394" t="str">
        <f t="shared" si="85"/>
        <v/>
      </c>
      <c r="I1205" s="394" t="str">
        <f t="shared" si="86"/>
        <v/>
      </c>
      <c r="J1205" s="394" t="str">
        <f t="shared" si="87"/>
        <v/>
      </c>
      <c r="K1205" s="394" t="str">
        <f t="shared" si="88"/>
        <v/>
      </c>
    </row>
    <row r="1206" spans="8:11" x14ac:dyDescent="0.25">
      <c r="H1206" s="394" t="str">
        <f t="shared" si="85"/>
        <v/>
      </c>
      <c r="I1206" s="394" t="str">
        <f t="shared" si="86"/>
        <v/>
      </c>
      <c r="J1206" s="394" t="str">
        <f t="shared" si="87"/>
        <v/>
      </c>
      <c r="K1206" s="394" t="str">
        <f t="shared" si="88"/>
        <v/>
      </c>
    </row>
    <row r="1207" spans="8:11" x14ac:dyDescent="0.25">
      <c r="H1207" s="394" t="str">
        <f t="shared" si="85"/>
        <v/>
      </c>
      <c r="I1207" s="394" t="str">
        <f t="shared" si="86"/>
        <v/>
      </c>
      <c r="J1207" s="394" t="str">
        <f t="shared" si="87"/>
        <v/>
      </c>
      <c r="K1207" s="394" t="str">
        <f t="shared" si="88"/>
        <v/>
      </c>
    </row>
    <row r="1208" spans="8:11" x14ac:dyDescent="0.25">
      <c r="H1208" s="394" t="str">
        <f t="shared" si="85"/>
        <v/>
      </c>
      <c r="I1208" s="394" t="str">
        <f t="shared" si="86"/>
        <v/>
      </c>
      <c r="J1208" s="394" t="str">
        <f t="shared" si="87"/>
        <v/>
      </c>
      <c r="K1208" s="394" t="str">
        <f t="shared" si="88"/>
        <v/>
      </c>
    </row>
    <row r="1209" spans="8:11" x14ac:dyDescent="0.25">
      <c r="H1209" s="394" t="str">
        <f t="shared" si="85"/>
        <v/>
      </c>
      <c r="I1209" s="394" t="str">
        <f t="shared" si="86"/>
        <v/>
      </c>
      <c r="J1209" s="394" t="str">
        <f t="shared" si="87"/>
        <v/>
      </c>
      <c r="K1209" s="394" t="str">
        <f t="shared" si="88"/>
        <v/>
      </c>
    </row>
    <row r="1210" spans="8:11" x14ac:dyDescent="0.25">
      <c r="H1210" s="394" t="str">
        <f t="shared" si="85"/>
        <v/>
      </c>
      <c r="I1210" s="394" t="str">
        <f t="shared" si="86"/>
        <v/>
      </c>
      <c r="J1210" s="394" t="str">
        <f t="shared" si="87"/>
        <v/>
      </c>
      <c r="K1210" s="394" t="str">
        <f t="shared" si="88"/>
        <v/>
      </c>
    </row>
    <row r="1211" spans="8:11" x14ac:dyDescent="0.25">
      <c r="H1211" s="394" t="str">
        <f t="shared" si="85"/>
        <v/>
      </c>
      <c r="I1211" s="394" t="str">
        <f t="shared" si="86"/>
        <v/>
      </c>
      <c r="J1211" s="394" t="str">
        <f t="shared" si="87"/>
        <v/>
      </c>
      <c r="K1211" s="394" t="str">
        <f t="shared" si="88"/>
        <v/>
      </c>
    </row>
    <row r="1212" spans="8:11" x14ac:dyDescent="0.25">
      <c r="H1212" s="394" t="str">
        <f t="shared" si="85"/>
        <v/>
      </c>
      <c r="I1212" s="394" t="str">
        <f t="shared" si="86"/>
        <v/>
      </c>
      <c r="J1212" s="394" t="str">
        <f t="shared" si="87"/>
        <v/>
      </c>
      <c r="K1212" s="394" t="str">
        <f t="shared" si="88"/>
        <v/>
      </c>
    </row>
    <row r="1213" spans="8:11" x14ac:dyDescent="0.25">
      <c r="H1213" s="394" t="str">
        <f t="shared" si="85"/>
        <v/>
      </c>
      <c r="I1213" s="394" t="str">
        <f t="shared" si="86"/>
        <v/>
      </c>
      <c r="J1213" s="394" t="str">
        <f t="shared" si="87"/>
        <v/>
      </c>
      <c r="K1213" s="394" t="str">
        <f t="shared" si="88"/>
        <v/>
      </c>
    </row>
    <row r="1214" spans="8:11" x14ac:dyDescent="0.25">
      <c r="H1214" s="394" t="str">
        <f t="shared" si="85"/>
        <v/>
      </c>
      <c r="I1214" s="394" t="str">
        <f t="shared" si="86"/>
        <v/>
      </c>
      <c r="J1214" s="394" t="str">
        <f t="shared" si="87"/>
        <v/>
      </c>
      <c r="K1214" s="394" t="str">
        <f t="shared" si="88"/>
        <v/>
      </c>
    </row>
    <row r="1215" spans="8:11" x14ac:dyDescent="0.25">
      <c r="H1215" s="394" t="str">
        <f t="shared" si="85"/>
        <v/>
      </c>
      <c r="I1215" s="394" t="str">
        <f t="shared" si="86"/>
        <v/>
      </c>
      <c r="J1215" s="394" t="str">
        <f t="shared" si="87"/>
        <v/>
      </c>
      <c r="K1215" s="394" t="str">
        <f t="shared" si="88"/>
        <v/>
      </c>
    </row>
    <row r="1216" spans="8:11" x14ac:dyDescent="0.25">
      <c r="H1216" s="394" t="str">
        <f t="shared" si="85"/>
        <v/>
      </c>
      <c r="I1216" s="394" t="str">
        <f t="shared" si="86"/>
        <v/>
      </c>
      <c r="J1216" s="394" t="str">
        <f t="shared" si="87"/>
        <v/>
      </c>
      <c r="K1216" s="394" t="str">
        <f t="shared" si="88"/>
        <v/>
      </c>
    </row>
    <row r="1217" spans="8:11" x14ac:dyDescent="0.25">
      <c r="H1217" s="394" t="str">
        <f t="shared" si="85"/>
        <v/>
      </c>
      <c r="I1217" s="394" t="str">
        <f t="shared" si="86"/>
        <v/>
      </c>
      <c r="J1217" s="394" t="str">
        <f t="shared" si="87"/>
        <v/>
      </c>
      <c r="K1217" s="394" t="str">
        <f t="shared" si="88"/>
        <v/>
      </c>
    </row>
    <row r="1218" spans="8:11" x14ac:dyDescent="0.25">
      <c r="H1218" s="394" t="str">
        <f t="shared" si="85"/>
        <v/>
      </c>
      <c r="I1218" s="394" t="str">
        <f t="shared" si="86"/>
        <v/>
      </c>
      <c r="J1218" s="394" t="str">
        <f t="shared" si="87"/>
        <v/>
      </c>
      <c r="K1218" s="394" t="str">
        <f t="shared" si="88"/>
        <v/>
      </c>
    </row>
    <row r="1219" spans="8:11" x14ac:dyDescent="0.25">
      <c r="H1219" s="394" t="str">
        <f t="shared" si="85"/>
        <v/>
      </c>
      <c r="I1219" s="394" t="str">
        <f t="shared" si="86"/>
        <v/>
      </c>
      <c r="J1219" s="394" t="str">
        <f t="shared" si="87"/>
        <v/>
      </c>
      <c r="K1219" s="394" t="str">
        <f t="shared" si="88"/>
        <v/>
      </c>
    </row>
    <row r="1220" spans="8:11" x14ac:dyDescent="0.25">
      <c r="H1220" s="394" t="str">
        <f t="shared" si="85"/>
        <v/>
      </c>
      <c r="I1220" s="394" t="str">
        <f t="shared" si="86"/>
        <v/>
      </c>
      <c r="J1220" s="394" t="str">
        <f t="shared" si="87"/>
        <v/>
      </c>
      <c r="K1220" s="394" t="str">
        <f t="shared" si="88"/>
        <v/>
      </c>
    </row>
    <row r="1221" spans="8:11" x14ac:dyDescent="0.25">
      <c r="H1221" s="394" t="str">
        <f t="shared" si="85"/>
        <v/>
      </c>
      <c r="I1221" s="394" t="str">
        <f t="shared" si="86"/>
        <v/>
      </c>
      <c r="J1221" s="394" t="str">
        <f t="shared" si="87"/>
        <v/>
      </c>
      <c r="K1221" s="394" t="str">
        <f t="shared" si="88"/>
        <v/>
      </c>
    </row>
    <row r="1222" spans="8:11" x14ac:dyDescent="0.25">
      <c r="H1222" s="394" t="str">
        <f t="shared" si="85"/>
        <v/>
      </c>
      <c r="I1222" s="394" t="str">
        <f t="shared" si="86"/>
        <v/>
      </c>
      <c r="J1222" s="394" t="str">
        <f t="shared" si="87"/>
        <v/>
      </c>
      <c r="K1222" s="394" t="str">
        <f t="shared" si="88"/>
        <v/>
      </c>
    </row>
    <row r="1223" spans="8:11" x14ac:dyDescent="0.25">
      <c r="H1223" s="394" t="str">
        <f t="shared" si="85"/>
        <v/>
      </c>
      <c r="I1223" s="394" t="str">
        <f t="shared" si="86"/>
        <v/>
      </c>
      <c r="J1223" s="394" t="str">
        <f t="shared" si="87"/>
        <v/>
      </c>
      <c r="K1223" s="394" t="str">
        <f t="shared" si="88"/>
        <v/>
      </c>
    </row>
    <row r="1224" spans="8:11" x14ac:dyDescent="0.25">
      <c r="H1224" s="394" t="str">
        <f t="shared" si="85"/>
        <v/>
      </c>
      <c r="I1224" s="394" t="str">
        <f t="shared" si="86"/>
        <v/>
      </c>
      <c r="J1224" s="394" t="str">
        <f t="shared" si="87"/>
        <v/>
      </c>
      <c r="K1224" s="394" t="str">
        <f t="shared" si="88"/>
        <v/>
      </c>
    </row>
    <row r="1225" spans="8:11" x14ac:dyDescent="0.25">
      <c r="H1225" s="394" t="str">
        <f t="shared" si="85"/>
        <v/>
      </c>
      <c r="I1225" s="394" t="str">
        <f t="shared" si="86"/>
        <v/>
      </c>
      <c r="J1225" s="394" t="str">
        <f t="shared" si="87"/>
        <v/>
      </c>
      <c r="K1225" s="394" t="str">
        <f t="shared" si="88"/>
        <v/>
      </c>
    </row>
    <row r="1226" spans="8:11" x14ac:dyDescent="0.25">
      <c r="H1226" s="394" t="str">
        <f t="shared" si="85"/>
        <v/>
      </c>
      <c r="I1226" s="394" t="str">
        <f t="shared" si="86"/>
        <v/>
      </c>
      <c r="J1226" s="394" t="str">
        <f t="shared" si="87"/>
        <v/>
      </c>
      <c r="K1226" s="394" t="str">
        <f t="shared" si="88"/>
        <v/>
      </c>
    </row>
    <row r="1227" spans="8:11" x14ac:dyDescent="0.25">
      <c r="H1227" s="394" t="str">
        <f t="shared" si="85"/>
        <v/>
      </c>
      <c r="I1227" s="394" t="str">
        <f t="shared" si="86"/>
        <v/>
      </c>
      <c r="J1227" s="394" t="str">
        <f t="shared" si="87"/>
        <v/>
      </c>
      <c r="K1227" s="394" t="str">
        <f t="shared" si="88"/>
        <v/>
      </c>
    </row>
    <row r="1228" spans="8:11" x14ac:dyDescent="0.25">
      <c r="H1228" s="394" t="str">
        <f t="shared" si="85"/>
        <v/>
      </c>
      <c r="I1228" s="394" t="str">
        <f t="shared" si="86"/>
        <v/>
      </c>
      <c r="J1228" s="394" t="str">
        <f t="shared" si="87"/>
        <v/>
      </c>
      <c r="K1228" s="394" t="str">
        <f t="shared" si="88"/>
        <v/>
      </c>
    </row>
    <row r="1229" spans="8:11" x14ac:dyDescent="0.25">
      <c r="H1229" s="394" t="str">
        <f t="shared" si="85"/>
        <v/>
      </c>
      <c r="I1229" s="394" t="str">
        <f t="shared" si="86"/>
        <v/>
      </c>
      <c r="J1229" s="394" t="str">
        <f t="shared" si="87"/>
        <v/>
      </c>
      <c r="K1229" s="394" t="str">
        <f t="shared" si="88"/>
        <v/>
      </c>
    </row>
    <row r="1230" spans="8:11" x14ac:dyDescent="0.25">
      <c r="H1230" s="394" t="str">
        <f t="shared" si="85"/>
        <v/>
      </c>
      <c r="I1230" s="394" t="str">
        <f t="shared" si="86"/>
        <v/>
      </c>
      <c r="J1230" s="394" t="str">
        <f t="shared" si="87"/>
        <v/>
      </c>
      <c r="K1230" s="394" t="str">
        <f t="shared" si="88"/>
        <v/>
      </c>
    </row>
    <row r="1231" spans="8:11" x14ac:dyDescent="0.25">
      <c r="H1231" s="394" t="str">
        <f t="shared" si="85"/>
        <v/>
      </c>
      <c r="I1231" s="394" t="str">
        <f t="shared" si="86"/>
        <v/>
      </c>
      <c r="J1231" s="394" t="str">
        <f t="shared" si="87"/>
        <v/>
      </c>
      <c r="K1231" s="394" t="str">
        <f t="shared" si="88"/>
        <v/>
      </c>
    </row>
    <row r="1232" spans="8:11" x14ac:dyDescent="0.25">
      <c r="H1232" s="394" t="str">
        <f t="shared" si="85"/>
        <v/>
      </c>
      <c r="I1232" s="394" t="str">
        <f t="shared" si="86"/>
        <v/>
      </c>
      <c r="J1232" s="394" t="str">
        <f t="shared" si="87"/>
        <v/>
      </c>
      <c r="K1232" s="394" t="str">
        <f t="shared" si="88"/>
        <v/>
      </c>
    </row>
    <row r="1233" spans="8:11" x14ac:dyDescent="0.25">
      <c r="H1233" s="394" t="str">
        <f t="shared" si="85"/>
        <v/>
      </c>
      <c r="I1233" s="394" t="str">
        <f t="shared" si="86"/>
        <v/>
      </c>
      <c r="J1233" s="394" t="str">
        <f t="shared" si="87"/>
        <v/>
      </c>
      <c r="K1233" s="394" t="str">
        <f t="shared" si="88"/>
        <v/>
      </c>
    </row>
    <row r="1234" spans="8:11" x14ac:dyDescent="0.25">
      <c r="H1234" s="394" t="str">
        <f t="shared" si="85"/>
        <v/>
      </c>
      <c r="I1234" s="394" t="str">
        <f t="shared" si="86"/>
        <v/>
      </c>
      <c r="J1234" s="394" t="str">
        <f t="shared" si="87"/>
        <v/>
      </c>
      <c r="K1234" s="394" t="str">
        <f t="shared" si="88"/>
        <v/>
      </c>
    </row>
    <row r="1235" spans="8:11" x14ac:dyDescent="0.25">
      <c r="H1235" s="394" t="str">
        <f t="shared" si="85"/>
        <v/>
      </c>
      <c r="I1235" s="394" t="str">
        <f t="shared" si="86"/>
        <v/>
      </c>
      <c r="J1235" s="394" t="str">
        <f t="shared" si="87"/>
        <v/>
      </c>
      <c r="K1235" s="394" t="str">
        <f t="shared" si="88"/>
        <v/>
      </c>
    </row>
    <row r="1236" spans="8:11" x14ac:dyDescent="0.25">
      <c r="H1236" s="394" t="str">
        <f t="shared" si="85"/>
        <v/>
      </c>
      <c r="I1236" s="394" t="str">
        <f t="shared" si="86"/>
        <v/>
      </c>
      <c r="J1236" s="394" t="str">
        <f t="shared" si="87"/>
        <v/>
      </c>
      <c r="K1236" s="394" t="str">
        <f t="shared" si="88"/>
        <v/>
      </c>
    </row>
    <row r="1237" spans="8:11" x14ac:dyDescent="0.25">
      <c r="H1237" s="394" t="str">
        <f t="shared" si="85"/>
        <v/>
      </c>
      <c r="I1237" s="394" t="str">
        <f t="shared" si="86"/>
        <v/>
      </c>
      <c r="J1237" s="394" t="str">
        <f t="shared" si="87"/>
        <v/>
      </c>
      <c r="K1237" s="394" t="str">
        <f t="shared" si="88"/>
        <v/>
      </c>
    </row>
    <row r="1238" spans="8:11" x14ac:dyDescent="0.25">
      <c r="H1238" s="394" t="str">
        <f t="shared" si="85"/>
        <v/>
      </c>
      <c r="I1238" s="394" t="str">
        <f t="shared" si="86"/>
        <v/>
      </c>
      <c r="J1238" s="394" t="str">
        <f t="shared" si="87"/>
        <v/>
      </c>
      <c r="K1238" s="394" t="str">
        <f t="shared" si="88"/>
        <v/>
      </c>
    </row>
    <row r="1239" spans="8:11" x14ac:dyDescent="0.25">
      <c r="H1239" s="394" t="str">
        <f t="shared" si="85"/>
        <v/>
      </c>
      <c r="I1239" s="394" t="str">
        <f t="shared" si="86"/>
        <v/>
      </c>
      <c r="J1239" s="394" t="str">
        <f t="shared" si="87"/>
        <v/>
      </c>
      <c r="K1239" s="394" t="str">
        <f t="shared" si="88"/>
        <v/>
      </c>
    </row>
    <row r="1240" spans="8:11" x14ac:dyDescent="0.25">
      <c r="H1240" s="394" t="str">
        <f t="shared" si="85"/>
        <v/>
      </c>
      <c r="I1240" s="394" t="str">
        <f t="shared" si="86"/>
        <v/>
      </c>
      <c r="J1240" s="394" t="str">
        <f t="shared" si="87"/>
        <v/>
      </c>
      <c r="K1240" s="394" t="str">
        <f t="shared" si="88"/>
        <v/>
      </c>
    </row>
    <row r="1241" spans="8:11" x14ac:dyDescent="0.25">
      <c r="H1241" s="394" t="str">
        <f t="shared" si="85"/>
        <v/>
      </c>
      <c r="I1241" s="394" t="str">
        <f t="shared" si="86"/>
        <v/>
      </c>
      <c r="J1241" s="394" t="str">
        <f t="shared" si="87"/>
        <v/>
      </c>
      <c r="K1241" s="394" t="str">
        <f t="shared" si="88"/>
        <v/>
      </c>
    </row>
    <row r="1242" spans="8:11" x14ac:dyDescent="0.25">
      <c r="H1242" s="394" t="str">
        <f t="shared" si="85"/>
        <v/>
      </c>
      <c r="I1242" s="394" t="str">
        <f t="shared" si="86"/>
        <v/>
      </c>
      <c r="J1242" s="394" t="str">
        <f t="shared" si="87"/>
        <v/>
      </c>
      <c r="K1242" s="394" t="str">
        <f t="shared" si="88"/>
        <v/>
      </c>
    </row>
    <row r="1243" spans="8:11" x14ac:dyDescent="0.25">
      <c r="H1243" s="394" t="str">
        <f t="shared" si="85"/>
        <v/>
      </c>
      <c r="I1243" s="394" t="str">
        <f t="shared" si="86"/>
        <v/>
      </c>
      <c r="J1243" s="394" t="str">
        <f t="shared" si="87"/>
        <v/>
      </c>
      <c r="K1243" s="394" t="str">
        <f t="shared" si="88"/>
        <v/>
      </c>
    </row>
    <row r="1244" spans="8:11" x14ac:dyDescent="0.25">
      <c r="H1244" s="394" t="str">
        <f t="shared" si="85"/>
        <v/>
      </c>
      <c r="I1244" s="394" t="str">
        <f t="shared" si="86"/>
        <v/>
      </c>
      <c r="J1244" s="394" t="str">
        <f t="shared" si="87"/>
        <v/>
      </c>
      <c r="K1244" s="394" t="str">
        <f t="shared" si="88"/>
        <v/>
      </c>
    </row>
    <row r="1245" spans="8:11" x14ac:dyDescent="0.25">
      <c r="H1245" s="394" t="str">
        <f t="shared" si="85"/>
        <v/>
      </c>
      <c r="I1245" s="394" t="str">
        <f t="shared" si="86"/>
        <v/>
      </c>
      <c r="J1245" s="394" t="str">
        <f t="shared" si="87"/>
        <v/>
      </c>
      <c r="K1245" s="394" t="str">
        <f t="shared" si="88"/>
        <v/>
      </c>
    </row>
    <row r="1246" spans="8:11" x14ac:dyDescent="0.25">
      <c r="H1246" s="394" t="str">
        <f t="shared" si="85"/>
        <v/>
      </c>
      <c r="I1246" s="394" t="str">
        <f t="shared" si="86"/>
        <v/>
      </c>
      <c r="J1246" s="394" t="str">
        <f t="shared" si="87"/>
        <v/>
      </c>
      <c r="K1246" s="394" t="str">
        <f t="shared" si="88"/>
        <v/>
      </c>
    </row>
    <row r="1247" spans="8:11" x14ac:dyDescent="0.25">
      <c r="H1247" s="394" t="str">
        <f t="shared" si="85"/>
        <v/>
      </c>
      <c r="I1247" s="394" t="str">
        <f t="shared" si="86"/>
        <v/>
      </c>
      <c r="J1247" s="394" t="str">
        <f t="shared" si="87"/>
        <v/>
      </c>
      <c r="K1247" s="394" t="str">
        <f t="shared" si="88"/>
        <v/>
      </c>
    </row>
    <row r="1248" spans="8:11" x14ac:dyDescent="0.25">
      <c r="H1248" s="394" t="str">
        <f t="shared" si="85"/>
        <v/>
      </c>
      <c r="I1248" s="394" t="str">
        <f t="shared" si="86"/>
        <v/>
      </c>
      <c r="J1248" s="394" t="str">
        <f t="shared" si="87"/>
        <v/>
      </c>
      <c r="K1248" s="394" t="str">
        <f t="shared" si="88"/>
        <v/>
      </c>
    </row>
    <row r="1249" spans="8:11" x14ac:dyDescent="0.25">
      <c r="H1249" s="394" t="str">
        <f t="shared" si="85"/>
        <v/>
      </c>
      <c r="I1249" s="394" t="str">
        <f t="shared" si="86"/>
        <v/>
      </c>
      <c r="J1249" s="394" t="str">
        <f t="shared" si="87"/>
        <v/>
      </c>
      <c r="K1249" s="394" t="str">
        <f t="shared" si="88"/>
        <v/>
      </c>
    </row>
    <row r="1250" spans="8:11" x14ac:dyDescent="0.25">
      <c r="H1250" s="394" t="str">
        <f t="shared" si="85"/>
        <v/>
      </c>
      <c r="I1250" s="394" t="str">
        <f t="shared" si="86"/>
        <v/>
      </c>
      <c r="J1250" s="394" t="str">
        <f t="shared" si="87"/>
        <v/>
      </c>
      <c r="K1250" s="394" t="str">
        <f t="shared" si="88"/>
        <v/>
      </c>
    </row>
    <row r="1251" spans="8:11" x14ac:dyDescent="0.25">
      <c r="H1251" s="394" t="str">
        <f t="shared" si="85"/>
        <v/>
      </c>
      <c r="I1251" s="394" t="str">
        <f t="shared" si="86"/>
        <v/>
      </c>
      <c r="J1251" s="394" t="str">
        <f t="shared" si="87"/>
        <v/>
      </c>
      <c r="K1251" s="394" t="str">
        <f t="shared" si="88"/>
        <v/>
      </c>
    </row>
    <row r="1252" spans="8:11" x14ac:dyDescent="0.25">
      <c r="H1252" s="394" t="str">
        <f t="shared" si="85"/>
        <v/>
      </c>
      <c r="I1252" s="394" t="str">
        <f t="shared" si="86"/>
        <v/>
      </c>
      <c r="J1252" s="394" t="str">
        <f t="shared" si="87"/>
        <v/>
      </c>
      <c r="K1252" s="394" t="str">
        <f t="shared" si="88"/>
        <v/>
      </c>
    </row>
    <row r="1253" spans="8:11" x14ac:dyDescent="0.25">
      <c r="H1253" s="394" t="str">
        <f t="shared" si="85"/>
        <v/>
      </c>
      <c r="I1253" s="394" t="str">
        <f t="shared" si="86"/>
        <v/>
      </c>
      <c r="J1253" s="394" t="str">
        <f t="shared" si="87"/>
        <v/>
      </c>
      <c r="K1253" s="394" t="str">
        <f t="shared" si="88"/>
        <v/>
      </c>
    </row>
    <row r="1254" spans="8:11" x14ac:dyDescent="0.25">
      <c r="H1254" s="394" t="str">
        <f t="shared" si="85"/>
        <v/>
      </c>
      <c r="I1254" s="394" t="str">
        <f t="shared" si="86"/>
        <v/>
      </c>
      <c r="J1254" s="394" t="str">
        <f t="shared" si="87"/>
        <v/>
      </c>
      <c r="K1254" s="394" t="str">
        <f t="shared" si="88"/>
        <v/>
      </c>
    </row>
    <row r="1255" spans="8:11" x14ac:dyDescent="0.25">
      <c r="H1255" s="394" t="str">
        <f t="shared" si="85"/>
        <v/>
      </c>
      <c r="I1255" s="394" t="str">
        <f t="shared" si="86"/>
        <v/>
      </c>
      <c r="J1255" s="394" t="str">
        <f t="shared" si="87"/>
        <v/>
      </c>
      <c r="K1255" s="394" t="str">
        <f t="shared" si="88"/>
        <v/>
      </c>
    </row>
    <row r="1256" spans="8:11" x14ac:dyDescent="0.25">
      <c r="H1256" s="394" t="str">
        <f t="shared" si="85"/>
        <v/>
      </c>
      <c r="I1256" s="394" t="str">
        <f t="shared" si="86"/>
        <v/>
      </c>
      <c r="J1256" s="394" t="str">
        <f t="shared" si="87"/>
        <v/>
      </c>
      <c r="K1256" s="394" t="str">
        <f t="shared" si="88"/>
        <v/>
      </c>
    </row>
    <row r="1257" spans="8:11" x14ac:dyDescent="0.25">
      <c r="H1257" s="394" t="str">
        <f t="shared" ref="H1257:H1320" si="89">IF($C279="","",ROUND(($B$2*$F279*($B$5/1000))/$B$6,2))</f>
        <v/>
      </c>
      <c r="I1257" s="394" t="str">
        <f t="shared" ref="I1257:I1320" si="90">IF($C279="","",ROUND(($B$3*$F279*($B$5/1000))/$B$6,2))</f>
        <v/>
      </c>
      <c r="J1257" s="394" t="str">
        <f t="shared" ref="J1257:J1320" si="91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2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89"/>
        <v/>
      </c>
      <c r="I1258" s="394" t="str">
        <f t="shared" si="90"/>
        <v/>
      </c>
      <c r="J1258" s="394" t="str">
        <f t="shared" si="91"/>
        <v/>
      </c>
      <c r="K1258" s="394" t="str">
        <f t="shared" si="92"/>
        <v/>
      </c>
    </row>
    <row r="1259" spans="8:11" x14ac:dyDescent="0.25">
      <c r="H1259" s="394" t="str">
        <f t="shared" si="89"/>
        <v/>
      </c>
      <c r="I1259" s="394" t="str">
        <f t="shared" si="90"/>
        <v/>
      </c>
      <c r="J1259" s="394" t="str">
        <f t="shared" si="91"/>
        <v/>
      </c>
      <c r="K1259" s="394" t="str">
        <f t="shared" si="92"/>
        <v/>
      </c>
    </row>
    <row r="1260" spans="8:11" x14ac:dyDescent="0.25">
      <c r="H1260" s="394" t="str">
        <f t="shared" si="89"/>
        <v/>
      </c>
      <c r="I1260" s="394" t="str">
        <f t="shared" si="90"/>
        <v/>
      </c>
      <c r="J1260" s="394" t="str">
        <f t="shared" si="91"/>
        <v/>
      </c>
      <c r="K1260" s="394" t="str">
        <f t="shared" si="92"/>
        <v/>
      </c>
    </row>
    <row r="1261" spans="8:11" x14ac:dyDescent="0.25">
      <c r="H1261" s="394" t="str">
        <f t="shared" si="89"/>
        <v/>
      </c>
      <c r="I1261" s="394" t="str">
        <f t="shared" si="90"/>
        <v/>
      </c>
      <c r="J1261" s="394" t="str">
        <f t="shared" si="91"/>
        <v/>
      </c>
      <c r="K1261" s="394" t="str">
        <f t="shared" si="92"/>
        <v/>
      </c>
    </row>
    <row r="1262" spans="8:11" x14ac:dyDescent="0.25">
      <c r="H1262" s="394" t="str">
        <f t="shared" si="89"/>
        <v/>
      </c>
      <c r="I1262" s="394" t="str">
        <f t="shared" si="90"/>
        <v/>
      </c>
      <c r="J1262" s="394" t="str">
        <f t="shared" si="91"/>
        <v/>
      </c>
      <c r="K1262" s="394" t="str">
        <f t="shared" si="92"/>
        <v/>
      </c>
    </row>
    <row r="1263" spans="8:11" x14ac:dyDescent="0.25">
      <c r="H1263" s="394" t="str">
        <f t="shared" si="89"/>
        <v/>
      </c>
      <c r="I1263" s="394" t="str">
        <f t="shared" si="90"/>
        <v/>
      </c>
      <c r="J1263" s="394" t="str">
        <f t="shared" si="91"/>
        <v/>
      </c>
      <c r="K1263" s="394" t="str">
        <f t="shared" si="92"/>
        <v/>
      </c>
    </row>
    <row r="1264" spans="8:11" x14ac:dyDescent="0.25">
      <c r="H1264" s="394" t="str">
        <f t="shared" si="89"/>
        <v/>
      </c>
      <c r="I1264" s="394" t="str">
        <f t="shared" si="90"/>
        <v/>
      </c>
      <c r="J1264" s="394" t="str">
        <f t="shared" si="91"/>
        <v/>
      </c>
      <c r="K1264" s="394" t="str">
        <f t="shared" si="92"/>
        <v/>
      </c>
    </row>
    <row r="1265" spans="8:11" x14ac:dyDescent="0.25">
      <c r="H1265" s="394" t="str">
        <f t="shared" si="89"/>
        <v/>
      </c>
      <c r="I1265" s="394" t="str">
        <f t="shared" si="90"/>
        <v/>
      </c>
      <c r="J1265" s="394" t="str">
        <f t="shared" si="91"/>
        <v/>
      </c>
      <c r="K1265" s="394" t="str">
        <f t="shared" si="92"/>
        <v/>
      </c>
    </row>
    <row r="1266" spans="8:11" x14ac:dyDescent="0.25">
      <c r="H1266" s="394" t="str">
        <f t="shared" si="89"/>
        <v/>
      </c>
      <c r="I1266" s="394" t="str">
        <f t="shared" si="90"/>
        <v/>
      </c>
      <c r="J1266" s="394" t="str">
        <f t="shared" si="91"/>
        <v/>
      </c>
      <c r="K1266" s="394" t="str">
        <f t="shared" si="92"/>
        <v/>
      </c>
    </row>
    <row r="1267" spans="8:11" x14ac:dyDescent="0.25">
      <c r="H1267" s="394" t="str">
        <f t="shared" si="89"/>
        <v/>
      </c>
      <c r="I1267" s="394" t="str">
        <f t="shared" si="90"/>
        <v/>
      </c>
      <c r="J1267" s="394" t="str">
        <f t="shared" si="91"/>
        <v/>
      </c>
      <c r="K1267" s="394" t="str">
        <f t="shared" si="92"/>
        <v/>
      </c>
    </row>
    <row r="1268" spans="8:11" x14ac:dyDescent="0.25">
      <c r="H1268" s="394" t="str">
        <f t="shared" si="89"/>
        <v/>
      </c>
      <c r="I1268" s="394" t="str">
        <f t="shared" si="90"/>
        <v/>
      </c>
      <c r="J1268" s="394" t="str">
        <f t="shared" si="91"/>
        <v/>
      </c>
      <c r="K1268" s="394" t="str">
        <f t="shared" si="92"/>
        <v/>
      </c>
    </row>
    <row r="1269" spans="8:11" x14ac:dyDescent="0.25">
      <c r="H1269" s="394" t="str">
        <f t="shared" si="89"/>
        <v/>
      </c>
      <c r="I1269" s="394" t="str">
        <f t="shared" si="90"/>
        <v/>
      </c>
      <c r="J1269" s="394" t="str">
        <f t="shared" si="91"/>
        <v/>
      </c>
      <c r="K1269" s="394" t="str">
        <f t="shared" si="92"/>
        <v/>
      </c>
    </row>
    <row r="1270" spans="8:11" x14ac:dyDescent="0.25">
      <c r="H1270" s="394" t="str">
        <f t="shared" si="89"/>
        <v/>
      </c>
      <c r="I1270" s="394" t="str">
        <f t="shared" si="90"/>
        <v/>
      </c>
      <c r="J1270" s="394" t="str">
        <f t="shared" si="91"/>
        <v/>
      </c>
      <c r="K1270" s="394" t="str">
        <f t="shared" si="92"/>
        <v/>
      </c>
    </row>
    <row r="1271" spans="8:11" x14ac:dyDescent="0.25">
      <c r="H1271" s="394" t="str">
        <f t="shared" si="89"/>
        <v/>
      </c>
      <c r="I1271" s="394" t="str">
        <f t="shared" si="90"/>
        <v/>
      </c>
      <c r="J1271" s="394" t="str">
        <f t="shared" si="91"/>
        <v/>
      </c>
      <c r="K1271" s="394" t="str">
        <f t="shared" si="92"/>
        <v/>
      </c>
    </row>
    <row r="1272" spans="8:11" x14ac:dyDescent="0.25">
      <c r="H1272" s="394" t="str">
        <f t="shared" si="89"/>
        <v/>
      </c>
      <c r="I1272" s="394" t="str">
        <f t="shared" si="90"/>
        <v/>
      </c>
      <c r="J1272" s="394" t="str">
        <f t="shared" si="91"/>
        <v/>
      </c>
      <c r="K1272" s="394" t="str">
        <f t="shared" si="92"/>
        <v/>
      </c>
    </row>
    <row r="1273" spans="8:11" x14ac:dyDescent="0.25">
      <c r="H1273" s="394" t="str">
        <f t="shared" si="89"/>
        <v/>
      </c>
      <c r="I1273" s="394" t="str">
        <f t="shared" si="90"/>
        <v/>
      </c>
      <c r="J1273" s="394" t="str">
        <f t="shared" si="91"/>
        <v/>
      </c>
      <c r="K1273" s="394" t="str">
        <f t="shared" si="92"/>
        <v/>
      </c>
    </row>
    <row r="1274" spans="8:11" x14ac:dyDescent="0.25">
      <c r="H1274" s="394" t="str">
        <f t="shared" si="89"/>
        <v/>
      </c>
      <c r="I1274" s="394" t="str">
        <f t="shared" si="90"/>
        <v/>
      </c>
      <c r="J1274" s="394" t="str">
        <f t="shared" si="91"/>
        <v/>
      </c>
      <c r="K1274" s="394" t="str">
        <f t="shared" si="92"/>
        <v/>
      </c>
    </row>
    <row r="1275" spans="8:11" x14ac:dyDescent="0.25">
      <c r="H1275" s="394" t="str">
        <f t="shared" si="89"/>
        <v/>
      </c>
      <c r="I1275" s="394" t="str">
        <f t="shared" si="90"/>
        <v/>
      </c>
      <c r="J1275" s="394" t="str">
        <f t="shared" si="91"/>
        <v/>
      </c>
      <c r="K1275" s="394" t="str">
        <f t="shared" si="92"/>
        <v/>
      </c>
    </row>
    <row r="1276" spans="8:11" x14ac:dyDescent="0.25">
      <c r="H1276" s="394" t="str">
        <f t="shared" si="89"/>
        <v/>
      </c>
      <c r="I1276" s="394" t="str">
        <f t="shared" si="90"/>
        <v/>
      </c>
      <c r="J1276" s="394" t="str">
        <f t="shared" si="91"/>
        <v/>
      </c>
      <c r="K1276" s="394" t="str">
        <f t="shared" si="92"/>
        <v/>
      </c>
    </row>
    <row r="1277" spans="8:11" x14ac:dyDescent="0.25">
      <c r="H1277" s="394" t="str">
        <f t="shared" si="89"/>
        <v/>
      </c>
      <c r="I1277" s="394" t="str">
        <f t="shared" si="90"/>
        <v/>
      </c>
      <c r="J1277" s="394" t="str">
        <f t="shared" si="91"/>
        <v/>
      </c>
      <c r="K1277" s="394" t="str">
        <f t="shared" si="92"/>
        <v/>
      </c>
    </row>
    <row r="1278" spans="8:11" x14ac:dyDescent="0.25">
      <c r="H1278" s="394" t="str">
        <f t="shared" si="89"/>
        <v/>
      </c>
      <c r="I1278" s="394" t="str">
        <f t="shared" si="90"/>
        <v/>
      </c>
      <c r="J1278" s="394" t="str">
        <f t="shared" si="91"/>
        <v/>
      </c>
      <c r="K1278" s="394" t="str">
        <f t="shared" si="92"/>
        <v/>
      </c>
    </row>
    <row r="1279" spans="8:11" x14ac:dyDescent="0.25">
      <c r="H1279" s="394" t="str">
        <f t="shared" si="89"/>
        <v/>
      </c>
      <c r="I1279" s="394" t="str">
        <f t="shared" si="90"/>
        <v/>
      </c>
      <c r="J1279" s="394" t="str">
        <f t="shared" si="91"/>
        <v/>
      </c>
      <c r="K1279" s="394" t="str">
        <f t="shared" si="92"/>
        <v/>
      </c>
    </row>
    <row r="1280" spans="8:11" x14ac:dyDescent="0.25">
      <c r="H1280" s="394" t="str">
        <f t="shared" si="89"/>
        <v/>
      </c>
      <c r="I1280" s="394" t="str">
        <f t="shared" si="90"/>
        <v/>
      </c>
      <c r="J1280" s="394" t="str">
        <f t="shared" si="91"/>
        <v/>
      </c>
      <c r="K1280" s="394" t="str">
        <f t="shared" si="92"/>
        <v/>
      </c>
    </row>
    <row r="1281" spans="8:11" x14ac:dyDescent="0.25">
      <c r="H1281" s="394" t="str">
        <f t="shared" si="89"/>
        <v/>
      </c>
      <c r="I1281" s="394" t="str">
        <f t="shared" si="90"/>
        <v/>
      </c>
      <c r="J1281" s="394" t="str">
        <f t="shared" si="91"/>
        <v/>
      </c>
      <c r="K1281" s="394" t="str">
        <f t="shared" si="92"/>
        <v/>
      </c>
    </row>
    <row r="1282" spans="8:11" x14ac:dyDescent="0.25">
      <c r="H1282" s="394" t="str">
        <f t="shared" si="89"/>
        <v/>
      </c>
      <c r="I1282" s="394" t="str">
        <f t="shared" si="90"/>
        <v/>
      </c>
      <c r="J1282" s="394" t="str">
        <f t="shared" si="91"/>
        <v/>
      </c>
      <c r="K1282" s="394" t="str">
        <f t="shared" si="92"/>
        <v/>
      </c>
    </row>
    <row r="1283" spans="8:11" x14ac:dyDescent="0.25">
      <c r="H1283" s="394" t="str">
        <f t="shared" si="89"/>
        <v/>
      </c>
      <c r="I1283" s="394" t="str">
        <f t="shared" si="90"/>
        <v/>
      </c>
      <c r="J1283" s="394" t="str">
        <f t="shared" si="91"/>
        <v/>
      </c>
      <c r="K1283" s="394" t="str">
        <f t="shared" si="92"/>
        <v/>
      </c>
    </row>
    <row r="1284" spans="8:11" x14ac:dyDescent="0.25">
      <c r="H1284" s="394" t="str">
        <f t="shared" si="89"/>
        <v/>
      </c>
      <c r="I1284" s="394" t="str">
        <f t="shared" si="90"/>
        <v/>
      </c>
      <c r="J1284" s="394" t="str">
        <f t="shared" si="91"/>
        <v/>
      </c>
      <c r="K1284" s="394" t="str">
        <f t="shared" si="92"/>
        <v/>
      </c>
    </row>
    <row r="1285" spans="8:11" x14ac:dyDescent="0.25">
      <c r="H1285" s="394" t="str">
        <f t="shared" si="89"/>
        <v/>
      </c>
      <c r="I1285" s="394" t="str">
        <f t="shared" si="90"/>
        <v/>
      </c>
      <c r="J1285" s="394" t="str">
        <f t="shared" si="91"/>
        <v/>
      </c>
      <c r="K1285" s="394" t="str">
        <f t="shared" si="92"/>
        <v/>
      </c>
    </row>
    <row r="1286" spans="8:11" x14ac:dyDescent="0.25">
      <c r="H1286" s="394" t="str">
        <f t="shared" si="89"/>
        <v/>
      </c>
      <c r="I1286" s="394" t="str">
        <f t="shared" si="90"/>
        <v/>
      </c>
      <c r="J1286" s="394" t="str">
        <f t="shared" si="91"/>
        <v/>
      </c>
      <c r="K1286" s="394" t="str">
        <f t="shared" si="92"/>
        <v/>
      </c>
    </row>
    <row r="1287" spans="8:11" x14ac:dyDescent="0.25">
      <c r="H1287" s="394" t="str">
        <f t="shared" si="89"/>
        <v/>
      </c>
      <c r="I1287" s="394" t="str">
        <f t="shared" si="90"/>
        <v/>
      </c>
      <c r="J1287" s="394" t="str">
        <f t="shared" si="91"/>
        <v/>
      </c>
      <c r="K1287" s="394" t="str">
        <f t="shared" si="92"/>
        <v/>
      </c>
    </row>
    <row r="1288" spans="8:11" x14ac:dyDescent="0.25">
      <c r="H1288" s="394" t="str">
        <f t="shared" si="89"/>
        <v/>
      </c>
      <c r="I1288" s="394" t="str">
        <f t="shared" si="90"/>
        <v/>
      </c>
      <c r="J1288" s="394" t="str">
        <f t="shared" si="91"/>
        <v/>
      </c>
      <c r="K1288" s="394" t="str">
        <f t="shared" si="92"/>
        <v/>
      </c>
    </row>
    <row r="1289" spans="8:11" x14ac:dyDescent="0.25">
      <c r="H1289" s="394" t="str">
        <f t="shared" si="89"/>
        <v/>
      </c>
      <c r="I1289" s="394" t="str">
        <f t="shared" si="90"/>
        <v/>
      </c>
      <c r="J1289" s="394" t="str">
        <f t="shared" si="91"/>
        <v/>
      </c>
      <c r="K1289" s="394" t="str">
        <f t="shared" si="92"/>
        <v/>
      </c>
    </row>
    <row r="1290" spans="8:11" x14ac:dyDescent="0.25">
      <c r="H1290" s="394" t="str">
        <f t="shared" si="89"/>
        <v/>
      </c>
      <c r="I1290" s="394" t="str">
        <f t="shared" si="90"/>
        <v/>
      </c>
      <c r="J1290" s="394" t="str">
        <f t="shared" si="91"/>
        <v/>
      </c>
      <c r="K1290" s="394" t="str">
        <f t="shared" si="92"/>
        <v/>
      </c>
    </row>
    <row r="1291" spans="8:11" x14ac:dyDescent="0.25">
      <c r="H1291" s="394" t="str">
        <f t="shared" si="89"/>
        <v/>
      </c>
      <c r="I1291" s="394" t="str">
        <f t="shared" si="90"/>
        <v/>
      </c>
      <c r="J1291" s="394" t="str">
        <f t="shared" si="91"/>
        <v/>
      </c>
      <c r="K1291" s="394" t="str">
        <f t="shared" si="92"/>
        <v/>
      </c>
    </row>
    <row r="1292" spans="8:11" x14ac:dyDescent="0.25">
      <c r="H1292" s="394" t="str">
        <f t="shared" si="89"/>
        <v/>
      </c>
      <c r="I1292" s="394" t="str">
        <f t="shared" si="90"/>
        <v/>
      </c>
      <c r="J1292" s="394" t="str">
        <f t="shared" si="91"/>
        <v/>
      </c>
      <c r="K1292" s="394" t="str">
        <f t="shared" si="92"/>
        <v/>
      </c>
    </row>
    <row r="1293" spans="8:11" x14ac:dyDescent="0.25">
      <c r="H1293" s="394" t="str">
        <f t="shared" si="89"/>
        <v/>
      </c>
      <c r="I1293" s="394" t="str">
        <f t="shared" si="90"/>
        <v/>
      </c>
      <c r="J1293" s="394" t="str">
        <f t="shared" si="91"/>
        <v/>
      </c>
      <c r="K1293" s="394" t="str">
        <f t="shared" si="92"/>
        <v/>
      </c>
    </row>
    <row r="1294" spans="8:11" x14ac:dyDescent="0.25">
      <c r="H1294" s="394" t="str">
        <f t="shared" si="89"/>
        <v/>
      </c>
      <c r="I1294" s="394" t="str">
        <f t="shared" si="90"/>
        <v/>
      </c>
      <c r="J1294" s="394" t="str">
        <f t="shared" si="91"/>
        <v/>
      </c>
      <c r="K1294" s="394" t="str">
        <f t="shared" si="92"/>
        <v/>
      </c>
    </row>
    <row r="1295" spans="8:11" x14ac:dyDescent="0.25">
      <c r="H1295" s="394" t="str">
        <f t="shared" si="89"/>
        <v/>
      </c>
      <c r="I1295" s="394" t="str">
        <f t="shared" si="90"/>
        <v/>
      </c>
      <c r="J1295" s="394" t="str">
        <f t="shared" si="91"/>
        <v/>
      </c>
      <c r="K1295" s="394" t="str">
        <f t="shared" si="92"/>
        <v/>
      </c>
    </row>
    <row r="1296" spans="8:11" x14ac:dyDescent="0.25">
      <c r="H1296" s="394" t="str">
        <f t="shared" si="89"/>
        <v/>
      </c>
      <c r="I1296" s="394" t="str">
        <f t="shared" si="90"/>
        <v/>
      </c>
      <c r="J1296" s="394" t="str">
        <f t="shared" si="91"/>
        <v/>
      </c>
      <c r="K1296" s="394" t="str">
        <f t="shared" si="92"/>
        <v/>
      </c>
    </row>
    <row r="1297" spans="8:11" x14ac:dyDescent="0.25">
      <c r="H1297" s="394" t="str">
        <f t="shared" si="89"/>
        <v/>
      </c>
      <c r="I1297" s="394" t="str">
        <f t="shared" si="90"/>
        <v/>
      </c>
      <c r="J1297" s="394" t="str">
        <f t="shared" si="91"/>
        <v/>
      </c>
      <c r="K1297" s="394" t="str">
        <f t="shared" si="92"/>
        <v/>
      </c>
    </row>
    <row r="1298" spans="8:11" x14ac:dyDescent="0.25">
      <c r="H1298" s="394" t="str">
        <f t="shared" si="89"/>
        <v/>
      </c>
      <c r="I1298" s="394" t="str">
        <f t="shared" si="90"/>
        <v/>
      </c>
      <c r="J1298" s="394" t="str">
        <f t="shared" si="91"/>
        <v/>
      </c>
      <c r="K1298" s="394" t="str">
        <f t="shared" si="92"/>
        <v/>
      </c>
    </row>
    <row r="1299" spans="8:11" x14ac:dyDescent="0.25">
      <c r="H1299" s="394" t="str">
        <f t="shared" si="89"/>
        <v/>
      </c>
      <c r="I1299" s="394" t="str">
        <f t="shared" si="90"/>
        <v/>
      </c>
      <c r="J1299" s="394" t="str">
        <f t="shared" si="91"/>
        <v/>
      </c>
      <c r="K1299" s="394" t="str">
        <f t="shared" si="92"/>
        <v/>
      </c>
    </row>
    <row r="1300" spans="8:11" x14ac:dyDescent="0.25">
      <c r="H1300" s="394" t="str">
        <f t="shared" si="89"/>
        <v/>
      </c>
      <c r="I1300" s="394" t="str">
        <f t="shared" si="90"/>
        <v/>
      </c>
      <c r="J1300" s="394" t="str">
        <f t="shared" si="91"/>
        <v/>
      </c>
      <c r="K1300" s="394" t="str">
        <f t="shared" si="92"/>
        <v/>
      </c>
    </row>
    <row r="1301" spans="8:11" x14ac:dyDescent="0.25">
      <c r="H1301" s="394" t="str">
        <f t="shared" si="89"/>
        <v/>
      </c>
      <c r="I1301" s="394" t="str">
        <f t="shared" si="90"/>
        <v/>
      </c>
      <c r="J1301" s="394" t="str">
        <f t="shared" si="91"/>
        <v/>
      </c>
      <c r="K1301" s="394" t="str">
        <f t="shared" si="92"/>
        <v/>
      </c>
    </row>
    <row r="1302" spans="8:11" x14ac:dyDescent="0.25">
      <c r="H1302" s="394" t="str">
        <f t="shared" si="89"/>
        <v/>
      </c>
      <c r="I1302" s="394" t="str">
        <f t="shared" si="90"/>
        <v/>
      </c>
      <c r="J1302" s="394" t="str">
        <f t="shared" si="91"/>
        <v/>
      </c>
      <c r="K1302" s="394" t="str">
        <f t="shared" si="92"/>
        <v/>
      </c>
    </row>
    <row r="1303" spans="8:11" x14ac:dyDescent="0.25">
      <c r="H1303" s="394" t="str">
        <f t="shared" si="89"/>
        <v/>
      </c>
      <c r="I1303" s="394" t="str">
        <f t="shared" si="90"/>
        <v/>
      </c>
      <c r="J1303" s="394" t="str">
        <f t="shared" si="91"/>
        <v/>
      </c>
      <c r="K1303" s="394" t="str">
        <f t="shared" si="92"/>
        <v/>
      </c>
    </row>
    <row r="1304" spans="8:11" x14ac:dyDescent="0.25">
      <c r="H1304" s="394" t="str">
        <f t="shared" si="89"/>
        <v/>
      </c>
      <c r="I1304" s="394" t="str">
        <f t="shared" si="90"/>
        <v/>
      </c>
      <c r="J1304" s="394" t="str">
        <f t="shared" si="91"/>
        <v/>
      </c>
      <c r="K1304" s="394" t="str">
        <f t="shared" si="92"/>
        <v/>
      </c>
    </row>
    <row r="1305" spans="8:11" x14ac:dyDescent="0.25">
      <c r="H1305" s="394" t="str">
        <f t="shared" si="89"/>
        <v/>
      </c>
      <c r="I1305" s="394" t="str">
        <f t="shared" si="90"/>
        <v/>
      </c>
      <c r="J1305" s="394" t="str">
        <f t="shared" si="91"/>
        <v/>
      </c>
      <c r="K1305" s="394" t="str">
        <f t="shared" si="92"/>
        <v/>
      </c>
    </row>
    <row r="1306" spans="8:11" x14ac:dyDescent="0.25">
      <c r="H1306" s="394" t="str">
        <f t="shared" si="89"/>
        <v/>
      </c>
      <c r="I1306" s="394" t="str">
        <f t="shared" si="90"/>
        <v/>
      </c>
      <c r="J1306" s="394" t="str">
        <f t="shared" si="91"/>
        <v/>
      </c>
      <c r="K1306" s="394" t="str">
        <f t="shared" si="92"/>
        <v/>
      </c>
    </row>
    <row r="1307" spans="8:11" x14ac:dyDescent="0.25">
      <c r="H1307" s="394" t="str">
        <f t="shared" si="89"/>
        <v/>
      </c>
      <c r="I1307" s="394" t="str">
        <f t="shared" si="90"/>
        <v/>
      </c>
      <c r="J1307" s="394" t="str">
        <f t="shared" si="91"/>
        <v/>
      </c>
      <c r="K1307" s="394" t="str">
        <f t="shared" si="92"/>
        <v/>
      </c>
    </row>
    <row r="1308" spans="8:11" x14ac:dyDescent="0.25">
      <c r="H1308" s="394" t="str">
        <f t="shared" si="89"/>
        <v/>
      </c>
      <c r="I1308" s="394" t="str">
        <f t="shared" si="90"/>
        <v/>
      </c>
      <c r="J1308" s="394" t="str">
        <f t="shared" si="91"/>
        <v/>
      </c>
      <c r="K1308" s="394" t="str">
        <f t="shared" si="92"/>
        <v/>
      </c>
    </row>
    <row r="1309" spans="8:11" x14ac:dyDescent="0.25">
      <c r="H1309" s="394" t="str">
        <f t="shared" si="89"/>
        <v/>
      </c>
      <c r="I1309" s="394" t="str">
        <f t="shared" si="90"/>
        <v/>
      </c>
      <c r="J1309" s="394" t="str">
        <f t="shared" si="91"/>
        <v/>
      </c>
      <c r="K1309" s="394" t="str">
        <f t="shared" si="92"/>
        <v/>
      </c>
    </row>
    <row r="1310" spans="8:11" x14ac:dyDescent="0.25">
      <c r="H1310" s="394" t="str">
        <f t="shared" si="89"/>
        <v/>
      </c>
      <c r="I1310" s="394" t="str">
        <f t="shared" si="90"/>
        <v/>
      </c>
      <c r="J1310" s="394" t="str">
        <f t="shared" si="91"/>
        <v/>
      </c>
      <c r="K1310" s="394" t="str">
        <f t="shared" si="92"/>
        <v/>
      </c>
    </row>
    <row r="1311" spans="8:11" x14ac:dyDescent="0.25">
      <c r="H1311" s="394" t="str">
        <f t="shared" si="89"/>
        <v/>
      </c>
      <c r="I1311" s="394" t="str">
        <f t="shared" si="90"/>
        <v/>
      </c>
      <c r="J1311" s="394" t="str">
        <f t="shared" si="91"/>
        <v/>
      </c>
      <c r="K1311" s="394" t="str">
        <f t="shared" si="92"/>
        <v/>
      </c>
    </row>
    <row r="1312" spans="8:11" x14ac:dyDescent="0.25">
      <c r="H1312" s="394" t="str">
        <f t="shared" si="89"/>
        <v/>
      </c>
      <c r="I1312" s="394" t="str">
        <f t="shared" si="90"/>
        <v/>
      </c>
      <c r="J1312" s="394" t="str">
        <f t="shared" si="91"/>
        <v/>
      </c>
      <c r="K1312" s="394" t="str">
        <f t="shared" si="92"/>
        <v/>
      </c>
    </row>
    <row r="1313" spans="8:11" x14ac:dyDescent="0.25">
      <c r="H1313" s="394" t="str">
        <f t="shared" si="89"/>
        <v/>
      </c>
      <c r="I1313" s="394" t="str">
        <f t="shared" si="90"/>
        <v/>
      </c>
      <c r="J1313" s="394" t="str">
        <f t="shared" si="91"/>
        <v/>
      </c>
      <c r="K1313" s="394" t="str">
        <f t="shared" si="92"/>
        <v/>
      </c>
    </row>
    <row r="1314" spans="8:11" x14ac:dyDescent="0.25">
      <c r="H1314" s="394" t="str">
        <f t="shared" si="89"/>
        <v/>
      </c>
      <c r="I1314" s="394" t="str">
        <f t="shared" si="90"/>
        <v/>
      </c>
      <c r="J1314" s="394" t="str">
        <f t="shared" si="91"/>
        <v/>
      </c>
      <c r="K1314" s="394" t="str">
        <f t="shared" si="92"/>
        <v/>
      </c>
    </row>
    <row r="1315" spans="8:11" x14ac:dyDescent="0.25">
      <c r="H1315" s="394" t="str">
        <f t="shared" si="89"/>
        <v/>
      </c>
      <c r="I1315" s="394" t="str">
        <f t="shared" si="90"/>
        <v/>
      </c>
      <c r="J1315" s="394" t="str">
        <f t="shared" si="91"/>
        <v/>
      </c>
      <c r="K1315" s="394" t="str">
        <f t="shared" si="92"/>
        <v/>
      </c>
    </row>
    <row r="1316" spans="8:11" x14ac:dyDescent="0.25">
      <c r="H1316" s="394" t="str">
        <f t="shared" si="89"/>
        <v/>
      </c>
      <c r="I1316" s="394" t="str">
        <f t="shared" si="90"/>
        <v/>
      </c>
      <c r="J1316" s="394" t="str">
        <f t="shared" si="91"/>
        <v/>
      </c>
      <c r="K1316" s="394" t="str">
        <f t="shared" si="92"/>
        <v/>
      </c>
    </row>
    <row r="1317" spans="8:11" x14ac:dyDescent="0.25">
      <c r="H1317" s="394" t="str">
        <f t="shared" si="89"/>
        <v/>
      </c>
      <c r="I1317" s="394" t="str">
        <f t="shared" si="90"/>
        <v/>
      </c>
      <c r="J1317" s="394" t="str">
        <f t="shared" si="91"/>
        <v/>
      </c>
      <c r="K1317" s="394" t="str">
        <f t="shared" si="92"/>
        <v/>
      </c>
    </row>
    <row r="1318" spans="8:11" x14ac:dyDescent="0.25">
      <c r="H1318" s="394" t="str">
        <f t="shared" si="89"/>
        <v/>
      </c>
      <c r="I1318" s="394" t="str">
        <f t="shared" si="90"/>
        <v/>
      </c>
      <c r="J1318" s="394" t="str">
        <f t="shared" si="91"/>
        <v/>
      </c>
      <c r="K1318" s="394" t="str">
        <f t="shared" si="92"/>
        <v/>
      </c>
    </row>
    <row r="1319" spans="8:11" x14ac:dyDescent="0.25">
      <c r="H1319" s="394" t="str">
        <f t="shared" si="89"/>
        <v/>
      </c>
      <c r="I1319" s="394" t="str">
        <f t="shared" si="90"/>
        <v/>
      </c>
      <c r="J1319" s="394" t="str">
        <f t="shared" si="91"/>
        <v/>
      </c>
      <c r="K1319" s="394" t="str">
        <f t="shared" si="92"/>
        <v/>
      </c>
    </row>
    <row r="1320" spans="8:11" x14ac:dyDescent="0.25">
      <c r="H1320" s="394" t="str">
        <f t="shared" si="89"/>
        <v/>
      </c>
      <c r="I1320" s="394" t="str">
        <f t="shared" si="90"/>
        <v/>
      </c>
      <c r="J1320" s="394" t="str">
        <f t="shared" si="91"/>
        <v/>
      </c>
      <c r="K1320" s="394" t="str">
        <f t="shared" si="92"/>
        <v/>
      </c>
    </row>
    <row r="1321" spans="8:11" x14ac:dyDescent="0.25">
      <c r="H1321" s="394" t="str">
        <f t="shared" ref="H1321:H1384" si="93">IF($C343="","",ROUND(($B$2*$F343*($B$5/1000))/$B$6,2))</f>
        <v/>
      </c>
      <c r="I1321" s="394" t="str">
        <f t="shared" ref="I1321:I1384" si="94">IF($C343="","",ROUND(($B$3*$F343*($B$5/1000))/$B$6,2))</f>
        <v/>
      </c>
      <c r="J1321" s="394" t="str">
        <f t="shared" ref="J1321:J1384" si="95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96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3"/>
        <v/>
      </c>
      <c r="I1322" s="394" t="str">
        <f t="shared" si="94"/>
        <v/>
      </c>
      <c r="J1322" s="394" t="str">
        <f t="shared" si="95"/>
        <v/>
      </c>
      <c r="K1322" s="394" t="str">
        <f t="shared" si="96"/>
        <v/>
      </c>
    </row>
    <row r="1323" spans="8:11" x14ac:dyDescent="0.25">
      <c r="H1323" s="394" t="str">
        <f t="shared" si="93"/>
        <v/>
      </c>
      <c r="I1323" s="394" t="str">
        <f t="shared" si="94"/>
        <v/>
      </c>
      <c r="J1323" s="394" t="str">
        <f t="shared" si="95"/>
        <v/>
      </c>
      <c r="K1323" s="394" t="str">
        <f t="shared" si="96"/>
        <v/>
      </c>
    </row>
    <row r="1324" spans="8:11" x14ac:dyDescent="0.25">
      <c r="H1324" s="394" t="str">
        <f t="shared" si="93"/>
        <v/>
      </c>
      <c r="I1324" s="394" t="str">
        <f t="shared" si="94"/>
        <v/>
      </c>
      <c r="J1324" s="394" t="str">
        <f t="shared" si="95"/>
        <v/>
      </c>
      <c r="K1324" s="394" t="str">
        <f t="shared" si="96"/>
        <v/>
      </c>
    </row>
    <row r="1325" spans="8:11" x14ac:dyDescent="0.25">
      <c r="H1325" s="394" t="str">
        <f t="shared" si="93"/>
        <v/>
      </c>
      <c r="I1325" s="394" t="str">
        <f t="shared" si="94"/>
        <v/>
      </c>
      <c r="J1325" s="394" t="str">
        <f t="shared" si="95"/>
        <v/>
      </c>
      <c r="K1325" s="394" t="str">
        <f t="shared" si="96"/>
        <v/>
      </c>
    </row>
    <row r="1326" spans="8:11" x14ac:dyDescent="0.25">
      <c r="H1326" s="394" t="str">
        <f t="shared" si="93"/>
        <v/>
      </c>
      <c r="I1326" s="394" t="str">
        <f t="shared" si="94"/>
        <v/>
      </c>
      <c r="J1326" s="394" t="str">
        <f t="shared" si="95"/>
        <v/>
      </c>
      <c r="K1326" s="394" t="str">
        <f t="shared" si="96"/>
        <v/>
      </c>
    </row>
    <row r="1327" spans="8:11" x14ac:dyDescent="0.25">
      <c r="H1327" s="394" t="str">
        <f t="shared" si="93"/>
        <v/>
      </c>
      <c r="I1327" s="394" t="str">
        <f t="shared" si="94"/>
        <v/>
      </c>
      <c r="J1327" s="394" t="str">
        <f t="shared" si="95"/>
        <v/>
      </c>
      <c r="K1327" s="394" t="str">
        <f t="shared" si="96"/>
        <v/>
      </c>
    </row>
    <row r="1328" spans="8:11" x14ac:dyDescent="0.25">
      <c r="H1328" s="394" t="str">
        <f t="shared" si="93"/>
        <v/>
      </c>
      <c r="I1328" s="394" t="str">
        <f t="shared" si="94"/>
        <v/>
      </c>
      <c r="J1328" s="394" t="str">
        <f t="shared" si="95"/>
        <v/>
      </c>
      <c r="K1328" s="394" t="str">
        <f t="shared" si="96"/>
        <v/>
      </c>
    </row>
    <row r="1329" spans="8:11" x14ac:dyDescent="0.25">
      <c r="H1329" s="394" t="str">
        <f t="shared" si="93"/>
        <v/>
      </c>
      <c r="I1329" s="394" t="str">
        <f t="shared" si="94"/>
        <v/>
      </c>
      <c r="J1329" s="394" t="str">
        <f t="shared" si="95"/>
        <v/>
      </c>
      <c r="K1329" s="394" t="str">
        <f t="shared" si="96"/>
        <v/>
      </c>
    </row>
    <row r="1330" spans="8:11" x14ac:dyDescent="0.25">
      <c r="H1330" s="394" t="str">
        <f t="shared" si="93"/>
        <v/>
      </c>
      <c r="I1330" s="394" t="str">
        <f t="shared" si="94"/>
        <v/>
      </c>
      <c r="J1330" s="394" t="str">
        <f t="shared" si="95"/>
        <v/>
      </c>
      <c r="K1330" s="394" t="str">
        <f t="shared" si="96"/>
        <v/>
      </c>
    </row>
    <row r="1331" spans="8:11" x14ac:dyDescent="0.25">
      <c r="H1331" s="394" t="str">
        <f t="shared" si="93"/>
        <v/>
      </c>
      <c r="I1331" s="394" t="str">
        <f t="shared" si="94"/>
        <v/>
      </c>
      <c r="J1331" s="394" t="str">
        <f t="shared" si="95"/>
        <v/>
      </c>
      <c r="K1331" s="394" t="str">
        <f t="shared" si="96"/>
        <v/>
      </c>
    </row>
    <row r="1332" spans="8:11" x14ac:dyDescent="0.25">
      <c r="H1332" s="394" t="str">
        <f t="shared" si="93"/>
        <v/>
      </c>
      <c r="I1332" s="394" t="str">
        <f t="shared" si="94"/>
        <v/>
      </c>
      <c r="J1332" s="394" t="str">
        <f t="shared" si="95"/>
        <v/>
      </c>
      <c r="K1332" s="394" t="str">
        <f t="shared" si="96"/>
        <v/>
      </c>
    </row>
    <row r="1333" spans="8:11" x14ac:dyDescent="0.25">
      <c r="H1333" s="394" t="str">
        <f t="shared" si="93"/>
        <v/>
      </c>
      <c r="I1333" s="394" t="str">
        <f t="shared" si="94"/>
        <v/>
      </c>
      <c r="J1333" s="394" t="str">
        <f t="shared" si="95"/>
        <v/>
      </c>
      <c r="K1333" s="394" t="str">
        <f t="shared" si="96"/>
        <v/>
      </c>
    </row>
    <row r="1334" spans="8:11" x14ac:dyDescent="0.25">
      <c r="H1334" s="394" t="str">
        <f t="shared" si="93"/>
        <v/>
      </c>
      <c r="I1334" s="394" t="str">
        <f t="shared" si="94"/>
        <v/>
      </c>
      <c r="J1334" s="394" t="str">
        <f t="shared" si="95"/>
        <v/>
      </c>
      <c r="K1334" s="394" t="str">
        <f t="shared" si="96"/>
        <v/>
      </c>
    </row>
    <row r="1335" spans="8:11" x14ac:dyDescent="0.25">
      <c r="H1335" s="394" t="str">
        <f t="shared" si="93"/>
        <v/>
      </c>
      <c r="I1335" s="394" t="str">
        <f t="shared" si="94"/>
        <v/>
      </c>
      <c r="J1335" s="394" t="str">
        <f t="shared" si="95"/>
        <v/>
      </c>
      <c r="K1335" s="394" t="str">
        <f t="shared" si="96"/>
        <v/>
      </c>
    </row>
    <row r="1336" spans="8:11" x14ac:dyDescent="0.25">
      <c r="H1336" s="394" t="str">
        <f t="shared" si="93"/>
        <v/>
      </c>
      <c r="I1336" s="394" t="str">
        <f t="shared" si="94"/>
        <v/>
      </c>
      <c r="J1336" s="394" t="str">
        <f t="shared" si="95"/>
        <v/>
      </c>
      <c r="K1336" s="394" t="str">
        <f t="shared" si="96"/>
        <v/>
      </c>
    </row>
    <row r="1337" spans="8:11" x14ac:dyDescent="0.25">
      <c r="H1337" s="394" t="str">
        <f t="shared" si="93"/>
        <v/>
      </c>
      <c r="I1337" s="394" t="str">
        <f t="shared" si="94"/>
        <v/>
      </c>
      <c r="J1337" s="394" t="str">
        <f t="shared" si="95"/>
        <v/>
      </c>
      <c r="K1337" s="394" t="str">
        <f t="shared" si="96"/>
        <v/>
      </c>
    </row>
    <row r="1338" spans="8:11" x14ac:dyDescent="0.25">
      <c r="H1338" s="394" t="str">
        <f t="shared" si="93"/>
        <v/>
      </c>
      <c r="I1338" s="394" t="str">
        <f t="shared" si="94"/>
        <v/>
      </c>
      <c r="J1338" s="394" t="str">
        <f t="shared" si="95"/>
        <v/>
      </c>
      <c r="K1338" s="394" t="str">
        <f t="shared" si="96"/>
        <v/>
      </c>
    </row>
    <row r="1339" spans="8:11" x14ac:dyDescent="0.25">
      <c r="H1339" s="394" t="str">
        <f t="shared" si="93"/>
        <v/>
      </c>
      <c r="I1339" s="394" t="str">
        <f t="shared" si="94"/>
        <v/>
      </c>
      <c r="J1339" s="394" t="str">
        <f t="shared" si="95"/>
        <v/>
      </c>
      <c r="K1339" s="394" t="str">
        <f t="shared" si="96"/>
        <v/>
      </c>
    </row>
    <row r="1340" spans="8:11" x14ac:dyDescent="0.25">
      <c r="H1340" s="394" t="str">
        <f t="shared" si="93"/>
        <v/>
      </c>
      <c r="I1340" s="394" t="str">
        <f t="shared" si="94"/>
        <v/>
      </c>
      <c r="J1340" s="394" t="str">
        <f t="shared" si="95"/>
        <v/>
      </c>
      <c r="K1340" s="394" t="str">
        <f t="shared" si="96"/>
        <v/>
      </c>
    </row>
    <row r="1341" spans="8:11" x14ac:dyDescent="0.25">
      <c r="H1341" s="394" t="str">
        <f t="shared" si="93"/>
        <v/>
      </c>
      <c r="I1341" s="394" t="str">
        <f t="shared" si="94"/>
        <v/>
      </c>
      <c r="J1341" s="394" t="str">
        <f t="shared" si="95"/>
        <v/>
      </c>
      <c r="K1341" s="394" t="str">
        <f t="shared" si="96"/>
        <v/>
      </c>
    </row>
    <row r="1342" spans="8:11" x14ac:dyDescent="0.25">
      <c r="H1342" s="394" t="str">
        <f t="shared" si="93"/>
        <v/>
      </c>
      <c r="I1342" s="394" t="str">
        <f t="shared" si="94"/>
        <v/>
      </c>
      <c r="J1342" s="394" t="str">
        <f t="shared" si="95"/>
        <v/>
      </c>
      <c r="K1342" s="394" t="str">
        <f t="shared" si="96"/>
        <v/>
      </c>
    </row>
    <row r="1343" spans="8:11" x14ac:dyDescent="0.25">
      <c r="H1343" s="394" t="str">
        <f t="shared" si="93"/>
        <v/>
      </c>
      <c r="I1343" s="394" t="str">
        <f t="shared" si="94"/>
        <v/>
      </c>
      <c r="J1343" s="394" t="str">
        <f t="shared" si="95"/>
        <v/>
      </c>
      <c r="K1343" s="394" t="str">
        <f t="shared" si="96"/>
        <v/>
      </c>
    </row>
    <row r="1344" spans="8:11" x14ac:dyDescent="0.25">
      <c r="H1344" s="394" t="str">
        <f t="shared" si="93"/>
        <v/>
      </c>
      <c r="I1344" s="394" t="str">
        <f t="shared" si="94"/>
        <v/>
      </c>
      <c r="J1344" s="394" t="str">
        <f t="shared" si="95"/>
        <v/>
      </c>
      <c r="K1344" s="394" t="str">
        <f t="shared" si="96"/>
        <v/>
      </c>
    </row>
    <row r="1345" spans="8:11" x14ac:dyDescent="0.25">
      <c r="H1345" s="394" t="str">
        <f t="shared" si="93"/>
        <v/>
      </c>
      <c r="I1345" s="394" t="str">
        <f t="shared" si="94"/>
        <v/>
      </c>
      <c r="J1345" s="394" t="str">
        <f t="shared" si="95"/>
        <v/>
      </c>
      <c r="K1345" s="394" t="str">
        <f t="shared" si="96"/>
        <v/>
      </c>
    </row>
    <row r="1346" spans="8:11" x14ac:dyDescent="0.25">
      <c r="H1346" s="394" t="str">
        <f t="shared" si="93"/>
        <v/>
      </c>
      <c r="I1346" s="394" t="str">
        <f t="shared" si="94"/>
        <v/>
      </c>
      <c r="J1346" s="394" t="str">
        <f t="shared" si="95"/>
        <v/>
      </c>
      <c r="K1346" s="394" t="str">
        <f t="shared" si="96"/>
        <v/>
      </c>
    </row>
    <row r="1347" spans="8:11" x14ac:dyDescent="0.25">
      <c r="H1347" s="394" t="str">
        <f t="shared" si="93"/>
        <v/>
      </c>
      <c r="I1347" s="394" t="str">
        <f t="shared" si="94"/>
        <v/>
      </c>
      <c r="J1347" s="394" t="str">
        <f t="shared" si="95"/>
        <v/>
      </c>
      <c r="K1347" s="394" t="str">
        <f t="shared" si="96"/>
        <v/>
      </c>
    </row>
    <row r="1348" spans="8:11" x14ac:dyDescent="0.25">
      <c r="H1348" s="394" t="str">
        <f t="shared" si="93"/>
        <v/>
      </c>
      <c r="I1348" s="394" t="str">
        <f t="shared" si="94"/>
        <v/>
      </c>
      <c r="J1348" s="394" t="str">
        <f t="shared" si="95"/>
        <v/>
      </c>
      <c r="K1348" s="394" t="str">
        <f t="shared" si="96"/>
        <v/>
      </c>
    </row>
    <row r="1349" spans="8:11" x14ac:dyDescent="0.25">
      <c r="H1349" s="394" t="str">
        <f t="shared" si="93"/>
        <v/>
      </c>
      <c r="I1349" s="394" t="str">
        <f t="shared" si="94"/>
        <v/>
      </c>
      <c r="J1349" s="394" t="str">
        <f t="shared" si="95"/>
        <v/>
      </c>
      <c r="K1349" s="394" t="str">
        <f t="shared" si="96"/>
        <v/>
      </c>
    </row>
    <row r="1350" spans="8:11" x14ac:dyDescent="0.25">
      <c r="H1350" s="394" t="str">
        <f t="shared" si="93"/>
        <v/>
      </c>
      <c r="I1350" s="394" t="str">
        <f t="shared" si="94"/>
        <v/>
      </c>
      <c r="J1350" s="394" t="str">
        <f t="shared" si="95"/>
        <v/>
      </c>
      <c r="K1350" s="394" t="str">
        <f t="shared" si="96"/>
        <v/>
      </c>
    </row>
    <row r="1351" spans="8:11" x14ac:dyDescent="0.25">
      <c r="H1351" s="394" t="str">
        <f t="shared" si="93"/>
        <v/>
      </c>
      <c r="I1351" s="394" t="str">
        <f t="shared" si="94"/>
        <v/>
      </c>
      <c r="J1351" s="394" t="str">
        <f t="shared" si="95"/>
        <v/>
      </c>
      <c r="K1351" s="394" t="str">
        <f t="shared" si="96"/>
        <v/>
      </c>
    </row>
    <row r="1352" spans="8:11" x14ac:dyDescent="0.25">
      <c r="H1352" s="394" t="str">
        <f t="shared" si="93"/>
        <v/>
      </c>
      <c r="I1352" s="394" t="str">
        <f t="shared" si="94"/>
        <v/>
      </c>
      <c r="J1352" s="394" t="str">
        <f t="shared" si="95"/>
        <v/>
      </c>
      <c r="K1352" s="394" t="str">
        <f t="shared" si="96"/>
        <v/>
      </c>
    </row>
    <row r="1353" spans="8:11" x14ac:dyDescent="0.25">
      <c r="H1353" s="394" t="str">
        <f t="shared" si="93"/>
        <v/>
      </c>
      <c r="I1353" s="394" t="str">
        <f t="shared" si="94"/>
        <v/>
      </c>
      <c r="J1353" s="394" t="str">
        <f t="shared" si="95"/>
        <v/>
      </c>
      <c r="K1353" s="394" t="str">
        <f t="shared" si="96"/>
        <v/>
      </c>
    </row>
    <row r="1354" spans="8:11" x14ac:dyDescent="0.25">
      <c r="H1354" s="394" t="str">
        <f t="shared" si="93"/>
        <v/>
      </c>
      <c r="I1354" s="394" t="str">
        <f t="shared" si="94"/>
        <v/>
      </c>
      <c r="J1354" s="394" t="str">
        <f t="shared" si="95"/>
        <v/>
      </c>
      <c r="K1354" s="394" t="str">
        <f t="shared" si="96"/>
        <v/>
      </c>
    </row>
    <row r="1355" spans="8:11" x14ac:dyDescent="0.25">
      <c r="H1355" s="394" t="str">
        <f t="shared" si="93"/>
        <v/>
      </c>
      <c r="I1355" s="394" t="str">
        <f t="shared" si="94"/>
        <v/>
      </c>
      <c r="J1355" s="394" t="str">
        <f t="shared" si="95"/>
        <v/>
      </c>
      <c r="K1355" s="394" t="str">
        <f t="shared" si="96"/>
        <v/>
      </c>
    </row>
    <row r="1356" spans="8:11" x14ac:dyDescent="0.25">
      <c r="H1356" s="394" t="str">
        <f t="shared" si="93"/>
        <v/>
      </c>
      <c r="I1356" s="394" t="str">
        <f t="shared" si="94"/>
        <v/>
      </c>
      <c r="J1356" s="394" t="str">
        <f t="shared" si="95"/>
        <v/>
      </c>
      <c r="K1356" s="394" t="str">
        <f t="shared" si="96"/>
        <v/>
      </c>
    </row>
    <row r="1357" spans="8:11" x14ac:dyDescent="0.25">
      <c r="H1357" s="394" t="str">
        <f t="shared" si="93"/>
        <v/>
      </c>
      <c r="I1357" s="394" t="str">
        <f t="shared" si="94"/>
        <v/>
      </c>
      <c r="J1357" s="394" t="str">
        <f t="shared" si="95"/>
        <v/>
      </c>
      <c r="K1357" s="394" t="str">
        <f t="shared" si="96"/>
        <v/>
      </c>
    </row>
    <row r="1358" spans="8:11" x14ac:dyDescent="0.25">
      <c r="H1358" s="394" t="str">
        <f t="shared" si="93"/>
        <v/>
      </c>
      <c r="I1358" s="394" t="str">
        <f t="shared" si="94"/>
        <v/>
      </c>
      <c r="J1358" s="394" t="str">
        <f t="shared" si="95"/>
        <v/>
      </c>
      <c r="K1358" s="394" t="str">
        <f t="shared" si="96"/>
        <v/>
      </c>
    </row>
    <row r="1359" spans="8:11" x14ac:dyDescent="0.25">
      <c r="H1359" s="394" t="str">
        <f t="shared" si="93"/>
        <v/>
      </c>
      <c r="I1359" s="394" t="str">
        <f t="shared" si="94"/>
        <v/>
      </c>
      <c r="J1359" s="394" t="str">
        <f t="shared" si="95"/>
        <v/>
      </c>
      <c r="K1359" s="394" t="str">
        <f t="shared" si="96"/>
        <v/>
      </c>
    </row>
    <row r="1360" spans="8:11" x14ac:dyDescent="0.25">
      <c r="H1360" s="394" t="str">
        <f t="shared" si="93"/>
        <v/>
      </c>
      <c r="I1360" s="394" t="str">
        <f t="shared" si="94"/>
        <v/>
      </c>
      <c r="J1360" s="394" t="str">
        <f t="shared" si="95"/>
        <v/>
      </c>
      <c r="K1360" s="394" t="str">
        <f t="shared" si="96"/>
        <v/>
      </c>
    </row>
    <row r="1361" spans="8:11" x14ac:dyDescent="0.25">
      <c r="H1361" s="394" t="str">
        <f t="shared" si="93"/>
        <v/>
      </c>
      <c r="I1361" s="394" t="str">
        <f t="shared" si="94"/>
        <v/>
      </c>
      <c r="J1361" s="394" t="str">
        <f t="shared" si="95"/>
        <v/>
      </c>
      <c r="K1361" s="394" t="str">
        <f t="shared" si="96"/>
        <v/>
      </c>
    </row>
    <row r="1362" spans="8:11" x14ac:dyDescent="0.25">
      <c r="H1362" s="394" t="str">
        <f t="shared" si="93"/>
        <v/>
      </c>
      <c r="I1362" s="394" t="str">
        <f t="shared" si="94"/>
        <v/>
      </c>
      <c r="J1362" s="394" t="str">
        <f t="shared" si="95"/>
        <v/>
      </c>
      <c r="K1362" s="394" t="str">
        <f t="shared" si="96"/>
        <v/>
      </c>
    </row>
    <row r="1363" spans="8:11" x14ac:dyDescent="0.25">
      <c r="H1363" s="394" t="str">
        <f t="shared" si="93"/>
        <v/>
      </c>
      <c r="I1363" s="394" t="str">
        <f t="shared" si="94"/>
        <v/>
      </c>
      <c r="J1363" s="394" t="str">
        <f t="shared" si="95"/>
        <v/>
      </c>
      <c r="K1363" s="394" t="str">
        <f t="shared" si="96"/>
        <v/>
      </c>
    </row>
    <row r="1364" spans="8:11" x14ac:dyDescent="0.25">
      <c r="H1364" s="394" t="str">
        <f t="shared" si="93"/>
        <v/>
      </c>
      <c r="I1364" s="394" t="str">
        <f t="shared" si="94"/>
        <v/>
      </c>
      <c r="J1364" s="394" t="str">
        <f t="shared" si="95"/>
        <v/>
      </c>
      <c r="K1364" s="394" t="str">
        <f t="shared" si="96"/>
        <v/>
      </c>
    </row>
    <row r="1365" spans="8:11" x14ac:dyDescent="0.25">
      <c r="H1365" s="394" t="str">
        <f t="shared" si="93"/>
        <v/>
      </c>
      <c r="I1365" s="394" t="str">
        <f t="shared" si="94"/>
        <v/>
      </c>
      <c r="J1365" s="394" t="str">
        <f t="shared" si="95"/>
        <v/>
      </c>
      <c r="K1365" s="394" t="str">
        <f t="shared" si="96"/>
        <v/>
      </c>
    </row>
    <row r="1366" spans="8:11" x14ac:dyDescent="0.25">
      <c r="H1366" s="394" t="str">
        <f t="shared" si="93"/>
        <v/>
      </c>
      <c r="I1366" s="394" t="str">
        <f t="shared" si="94"/>
        <v/>
      </c>
      <c r="J1366" s="394" t="str">
        <f t="shared" si="95"/>
        <v/>
      </c>
      <c r="K1366" s="394" t="str">
        <f t="shared" si="96"/>
        <v/>
      </c>
    </row>
    <row r="1367" spans="8:11" x14ac:dyDescent="0.25">
      <c r="H1367" s="394" t="str">
        <f t="shared" si="93"/>
        <v/>
      </c>
      <c r="I1367" s="394" t="str">
        <f t="shared" si="94"/>
        <v/>
      </c>
      <c r="J1367" s="394" t="str">
        <f t="shared" si="95"/>
        <v/>
      </c>
      <c r="K1367" s="394" t="str">
        <f t="shared" si="96"/>
        <v/>
      </c>
    </row>
    <row r="1368" spans="8:11" x14ac:dyDescent="0.25">
      <c r="H1368" s="394" t="str">
        <f t="shared" si="93"/>
        <v/>
      </c>
      <c r="I1368" s="394" t="str">
        <f t="shared" si="94"/>
        <v/>
      </c>
      <c r="J1368" s="394" t="str">
        <f t="shared" si="95"/>
        <v/>
      </c>
      <c r="K1368" s="394" t="str">
        <f t="shared" si="96"/>
        <v/>
      </c>
    </row>
    <row r="1369" spans="8:11" x14ac:dyDescent="0.25">
      <c r="H1369" s="394" t="str">
        <f t="shared" si="93"/>
        <v/>
      </c>
      <c r="I1369" s="394" t="str">
        <f t="shared" si="94"/>
        <v/>
      </c>
      <c r="J1369" s="394" t="str">
        <f t="shared" si="95"/>
        <v/>
      </c>
      <c r="K1369" s="394" t="str">
        <f t="shared" si="96"/>
        <v/>
      </c>
    </row>
    <row r="1370" spans="8:11" x14ac:dyDescent="0.25">
      <c r="H1370" s="394" t="str">
        <f t="shared" si="93"/>
        <v/>
      </c>
      <c r="I1370" s="394" t="str">
        <f t="shared" si="94"/>
        <v/>
      </c>
      <c r="J1370" s="394" t="str">
        <f t="shared" si="95"/>
        <v/>
      </c>
      <c r="K1370" s="394" t="str">
        <f t="shared" si="96"/>
        <v/>
      </c>
    </row>
    <row r="1371" spans="8:11" x14ac:dyDescent="0.25">
      <c r="H1371" s="394" t="str">
        <f t="shared" si="93"/>
        <v/>
      </c>
      <c r="I1371" s="394" t="str">
        <f t="shared" si="94"/>
        <v/>
      </c>
      <c r="J1371" s="394" t="str">
        <f t="shared" si="95"/>
        <v/>
      </c>
      <c r="K1371" s="394" t="str">
        <f t="shared" si="96"/>
        <v/>
      </c>
    </row>
    <row r="1372" spans="8:11" x14ac:dyDescent="0.25">
      <c r="H1372" s="394" t="str">
        <f t="shared" si="93"/>
        <v/>
      </c>
      <c r="I1372" s="394" t="str">
        <f t="shared" si="94"/>
        <v/>
      </c>
      <c r="J1372" s="394" t="str">
        <f t="shared" si="95"/>
        <v/>
      </c>
      <c r="K1372" s="394" t="str">
        <f t="shared" si="96"/>
        <v/>
      </c>
    </row>
    <row r="1373" spans="8:11" x14ac:dyDescent="0.25">
      <c r="H1373" s="394" t="str">
        <f t="shared" si="93"/>
        <v/>
      </c>
      <c r="I1373" s="394" t="str">
        <f t="shared" si="94"/>
        <v/>
      </c>
      <c r="J1373" s="394" t="str">
        <f t="shared" si="95"/>
        <v/>
      </c>
      <c r="K1373" s="394" t="str">
        <f t="shared" si="96"/>
        <v/>
      </c>
    </row>
    <row r="1374" spans="8:11" x14ac:dyDescent="0.25">
      <c r="H1374" s="394" t="str">
        <f t="shared" si="93"/>
        <v/>
      </c>
      <c r="I1374" s="394" t="str">
        <f t="shared" si="94"/>
        <v/>
      </c>
      <c r="J1374" s="394" t="str">
        <f t="shared" si="95"/>
        <v/>
      </c>
      <c r="K1374" s="394" t="str">
        <f t="shared" si="96"/>
        <v/>
      </c>
    </row>
    <row r="1375" spans="8:11" x14ac:dyDescent="0.25">
      <c r="H1375" s="394" t="str">
        <f t="shared" si="93"/>
        <v/>
      </c>
      <c r="I1375" s="394" t="str">
        <f t="shared" si="94"/>
        <v/>
      </c>
      <c r="J1375" s="394" t="str">
        <f t="shared" si="95"/>
        <v/>
      </c>
      <c r="K1375" s="394" t="str">
        <f t="shared" si="96"/>
        <v/>
      </c>
    </row>
    <row r="1376" spans="8:11" x14ac:dyDescent="0.25">
      <c r="H1376" s="394" t="str">
        <f t="shared" si="93"/>
        <v/>
      </c>
      <c r="I1376" s="394" t="str">
        <f t="shared" si="94"/>
        <v/>
      </c>
      <c r="J1376" s="394" t="str">
        <f t="shared" si="95"/>
        <v/>
      </c>
      <c r="K1376" s="394" t="str">
        <f t="shared" si="96"/>
        <v/>
      </c>
    </row>
    <row r="1377" spans="8:11" x14ac:dyDescent="0.25">
      <c r="H1377" s="394" t="str">
        <f t="shared" si="93"/>
        <v/>
      </c>
      <c r="I1377" s="394" t="str">
        <f t="shared" si="94"/>
        <v/>
      </c>
      <c r="J1377" s="394" t="str">
        <f t="shared" si="95"/>
        <v/>
      </c>
      <c r="K1377" s="394" t="str">
        <f t="shared" si="96"/>
        <v/>
      </c>
    </row>
    <row r="1378" spans="8:11" x14ac:dyDescent="0.25">
      <c r="H1378" s="394" t="str">
        <f t="shared" si="93"/>
        <v/>
      </c>
      <c r="I1378" s="394" t="str">
        <f t="shared" si="94"/>
        <v/>
      </c>
      <c r="J1378" s="394" t="str">
        <f t="shared" si="95"/>
        <v/>
      </c>
      <c r="K1378" s="394" t="str">
        <f t="shared" si="96"/>
        <v/>
      </c>
    </row>
    <row r="1379" spans="8:11" x14ac:dyDescent="0.25">
      <c r="H1379" s="394" t="str">
        <f t="shared" si="93"/>
        <v/>
      </c>
      <c r="I1379" s="394" t="str">
        <f t="shared" si="94"/>
        <v/>
      </c>
      <c r="J1379" s="394" t="str">
        <f t="shared" si="95"/>
        <v/>
      </c>
      <c r="K1379" s="394" t="str">
        <f t="shared" si="96"/>
        <v/>
      </c>
    </row>
    <row r="1380" spans="8:11" x14ac:dyDescent="0.25">
      <c r="H1380" s="394" t="str">
        <f t="shared" si="93"/>
        <v/>
      </c>
      <c r="I1380" s="394" t="str">
        <f t="shared" si="94"/>
        <v/>
      </c>
      <c r="J1380" s="394" t="str">
        <f t="shared" si="95"/>
        <v/>
      </c>
      <c r="K1380" s="394" t="str">
        <f t="shared" si="96"/>
        <v/>
      </c>
    </row>
    <row r="1381" spans="8:11" x14ac:dyDescent="0.25">
      <c r="H1381" s="394" t="str">
        <f t="shared" si="93"/>
        <v/>
      </c>
      <c r="I1381" s="394" t="str">
        <f t="shared" si="94"/>
        <v/>
      </c>
      <c r="J1381" s="394" t="str">
        <f t="shared" si="95"/>
        <v/>
      </c>
      <c r="K1381" s="394" t="str">
        <f t="shared" si="96"/>
        <v/>
      </c>
    </row>
    <row r="1382" spans="8:11" x14ac:dyDescent="0.25">
      <c r="H1382" s="394" t="str">
        <f t="shared" si="93"/>
        <v/>
      </c>
      <c r="I1382" s="394" t="str">
        <f t="shared" si="94"/>
        <v/>
      </c>
      <c r="J1382" s="394" t="str">
        <f t="shared" si="95"/>
        <v/>
      </c>
      <c r="K1382" s="394" t="str">
        <f t="shared" si="96"/>
        <v/>
      </c>
    </row>
    <row r="1383" spans="8:11" x14ac:dyDescent="0.25">
      <c r="H1383" s="394" t="str">
        <f t="shared" si="93"/>
        <v/>
      </c>
      <c r="I1383" s="394" t="str">
        <f t="shared" si="94"/>
        <v/>
      </c>
      <c r="J1383" s="394" t="str">
        <f t="shared" si="95"/>
        <v/>
      </c>
      <c r="K1383" s="394" t="str">
        <f t="shared" si="96"/>
        <v/>
      </c>
    </row>
    <row r="1384" spans="8:11" x14ac:dyDescent="0.25">
      <c r="H1384" s="394" t="str">
        <f t="shared" si="93"/>
        <v/>
      </c>
      <c r="I1384" s="394" t="str">
        <f t="shared" si="94"/>
        <v/>
      </c>
      <c r="J1384" s="394" t="str">
        <f t="shared" si="95"/>
        <v/>
      </c>
      <c r="K1384" s="394" t="str">
        <f t="shared" si="96"/>
        <v/>
      </c>
    </row>
    <row r="1385" spans="8:11" x14ac:dyDescent="0.25">
      <c r="H1385" s="394" t="str">
        <f t="shared" ref="H1385:H1448" si="97">IF($C407="","",ROUND(($B$2*$F407*($B$5/1000))/$B$6,2))</f>
        <v/>
      </c>
      <c r="I1385" s="394" t="str">
        <f t="shared" ref="I1385:I1448" si="98">IF($C407="","",ROUND(($B$3*$F407*($B$5/1000))/$B$6,2))</f>
        <v/>
      </c>
      <c r="J1385" s="394" t="str">
        <f t="shared" ref="J1385:J1448" si="99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0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97"/>
        <v/>
      </c>
      <c r="I1386" s="394" t="str">
        <f t="shared" si="98"/>
        <v/>
      </c>
      <c r="J1386" s="394" t="str">
        <f t="shared" si="99"/>
        <v/>
      </c>
      <c r="K1386" s="394" t="str">
        <f t="shared" si="100"/>
        <v/>
      </c>
    </row>
    <row r="1387" spans="8:11" x14ac:dyDescent="0.25">
      <c r="H1387" s="394" t="str">
        <f t="shared" si="97"/>
        <v/>
      </c>
      <c r="I1387" s="394" t="str">
        <f t="shared" si="98"/>
        <v/>
      </c>
      <c r="J1387" s="394" t="str">
        <f t="shared" si="99"/>
        <v/>
      </c>
      <c r="K1387" s="394" t="str">
        <f t="shared" si="100"/>
        <v/>
      </c>
    </row>
    <row r="1388" spans="8:11" x14ac:dyDescent="0.25">
      <c r="H1388" s="394" t="str">
        <f t="shared" si="97"/>
        <v/>
      </c>
      <c r="I1388" s="394" t="str">
        <f t="shared" si="98"/>
        <v/>
      </c>
      <c r="J1388" s="394" t="str">
        <f t="shared" si="99"/>
        <v/>
      </c>
      <c r="K1388" s="394" t="str">
        <f t="shared" si="100"/>
        <v/>
      </c>
    </row>
    <row r="1389" spans="8:11" x14ac:dyDescent="0.25">
      <c r="H1389" s="394" t="str">
        <f t="shared" si="97"/>
        <v/>
      </c>
      <c r="I1389" s="394" t="str">
        <f t="shared" si="98"/>
        <v/>
      </c>
      <c r="J1389" s="394" t="str">
        <f t="shared" si="99"/>
        <v/>
      </c>
      <c r="K1389" s="394" t="str">
        <f t="shared" si="100"/>
        <v/>
      </c>
    </row>
    <row r="1390" spans="8:11" x14ac:dyDescent="0.25">
      <c r="H1390" s="394" t="str">
        <f t="shared" si="97"/>
        <v/>
      </c>
      <c r="I1390" s="394" t="str">
        <f t="shared" si="98"/>
        <v/>
      </c>
      <c r="J1390" s="394" t="str">
        <f t="shared" si="99"/>
        <v/>
      </c>
      <c r="K1390" s="394" t="str">
        <f t="shared" si="100"/>
        <v/>
      </c>
    </row>
    <row r="1391" spans="8:11" x14ac:dyDescent="0.25">
      <c r="H1391" s="394" t="str">
        <f t="shared" si="97"/>
        <v/>
      </c>
      <c r="I1391" s="394" t="str">
        <f t="shared" si="98"/>
        <v/>
      </c>
      <c r="J1391" s="394" t="str">
        <f t="shared" si="99"/>
        <v/>
      </c>
      <c r="K1391" s="394" t="str">
        <f t="shared" si="100"/>
        <v/>
      </c>
    </row>
    <row r="1392" spans="8:11" x14ac:dyDescent="0.25">
      <c r="H1392" s="394" t="str">
        <f t="shared" si="97"/>
        <v/>
      </c>
      <c r="I1392" s="394" t="str">
        <f t="shared" si="98"/>
        <v/>
      </c>
      <c r="J1392" s="394" t="str">
        <f t="shared" si="99"/>
        <v/>
      </c>
      <c r="K1392" s="394" t="str">
        <f t="shared" si="100"/>
        <v/>
      </c>
    </row>
    <row r="1393" spans="8:11" x14ac:dyDescent="0.25">
      <c r="H1393" s="394" t="str">
        <f t="shared" si="97"/>
        <v/>
      </c>
      <c r="I1393" s="394" t="str">
        <f t="shared" si="98"/>
        <v/>
      </c>
      <c r="J1393" s="394" t="str">
        <f t="shared" si="99"/>
        <v/>
      </c>
      <c r="K1393" s="394" t="str">
        <f t="shared" si="100"/>
        <v/>
      </c>
    </row>
    <row r="1394" spans="8:11" x14ac:dyDescent="0.25">
      <c r="H1394" s="394" t="str">
        <f t="shared" si="97"/>
        <v/>
      </c>
      <c r="I1394" s="394" t="str">
        <f t="shared" si="98"/>
        <v/>
      </c>
      <c r="J1394" s="394" t="str">
        <f t="shared" si="99"/>
        <v/>
      </c>
      <c r="K1394" s="394" t="str">
        <f t="shared" si="100"/>
        <v/>
      </c>
    </row>
    <row r="1395" spans="8:11" x14ac:dyDescent="0.25">
      <c r="H1395" s="394" t="str">
        <f t="shared" si="97"/>
        <v/>
      </c>
      <c r="I1395" s="394" t="str">
        <f t="shared" si="98"/>
        <v/>
      </c>
      <c r="J1395" s="394" t="str">
        <f t="shared" si="99"/>
        <v/>
      </c>
      <c r="K1395" s="394" t="str">
        <f t="shared" si="100"/>
        <v/>
      </c>
    </row>
    <row r="1396" spans="8:11" x14ac:dyDescent="0.25">
      <c r="H1396" s="394" t="str">
        <f t="shared" si="97"/>
        <v/>
      </c>
      <c r="I1396" s="394" t="str">
        <f t="shared" si="98"/>
        <v/>
      </c>
      <c r="J1396" s="394" t="str">
        <f t="shared" si="99"/>
        <v/>
      </c>
      <c r="K1396" s="394" t="str">
        <f t="shared" si="100"/>
        <v/>
      </c>
    </row>
    <row r="1397" spans="8:11" x14ac:dyDescent="0.25">
      <c r="H1397" s="394" t="str">
        <f t="shared" si="97"/>
        <v/>
      </c>
      <c r="I1397" s="394" t="str">
        <f t="shared" si="98"/>
        <v/>
      </c>
      <c r="J1397" s="394" t="str">
        <f t="shared" si="99"/>
        <v/>
      </c>
      <c r="K1397" s="394" t="str">
        <f t="shared" si="100"/>
        <v/>
      </c>
    </row>
    <row r="1398" spans="8:11" x14ac:dyDescent="0.25">
      <c r="H1398" s="394" t="str">
        <f t="shared" si="97"/>
        <v/>
      </c>
      <c r="I1398" s="394" t="str">
        <f t="shared" si="98"/>
        <v/>
      </c>
      <c r="J1398" s="394" t="str">
        <f t="shared" si="99"/>
        <v/>
      </c>
      <c r="K1398" s="394" t="str">
        <f t="shared" si="100"/>
        <v/>
      </c>
    </row>
    <row r="1399" spans="8:11" x14ac:dyDescent="0.25">
      <c r="H1399" s="394" t="str">
        <f t="shared" si="97"/>
        <v/>
      </c>
      <c r="I1399" s="394" t="str">
        <f t="shared" si="98"/>
        <v/>
      </c>
      <c r="J1399" s="394" t="str">
        <f t="shared" si="99"/>
        <v/>
      </c>
      <c r="K1399" s="394" t="str">
        <f t="shared" si="100"/>
        <v/>
      </c>
    </row>
    <row r="1400" spans="8:11" x14ac:dyDescent="0.25">
      <c r="H1400" s="394" t="str">
        <f t="shared" si="97"/>
        <v/>
      </c>
      <c r="I1400" s="394" t="str">
        <f t="shared" si="98"/>
        <v/>
      </c>
      <c r="J1400" s="394" t="str">
        <f t="shared" si="99"/>
        <v/>
      </c>
      <c r="K1400" s="394" t="str">
        <f t="shared" si="100"/>
        <v/>
      </c>
    </row>
    <row r="1401" spans="8:11" x14ac:dyDescent="0.25">
      <c r="H1401" s="394" t="str">
        <f t="shared" si="97"/>
        <v/>
      </c>
      <c r="I1401" s="394" t="str">
        <f t="shared" si="98"/>
        <v/>
      </c>
      <c r="J1401" s="394" t="str">
        <f t="shared" si="99"/>
        <v/>
      </c>
      <c r="K1401" s="394" t="str">
        <f t="shared" si="100"/>
        <v/>
      </c>
    </row>
    <row r="1402" spans="8:11" x14ac:dyDescent="0.25">
      <c r="H1402" s="394" t="str">
        <f t="shared" si="97"/>
        <v/>
      </c>
      <c r="I1402" s="394" t="str">
        <f t="shared" si="98"/>
        <v/>
      </c>
      <c r="J1402" s="394" t="str">
        <f t="shared" si="99"/>
        <v/>
      </c>
      <c r="K1402" s="394" t="str">
        <f t="shared" si="100"/>
        <v/>
      </c>
    </row>
    <row r="1403" spans="8:11" x14ac:dyDescent="0.25">
      <c r="H1403" s="394" t="str">
        <f t="shared" si="97"/>
        <v/>
      </c>
      <c r="I1403" s="394" t="str">
        <f t="shared" si="98"/>
        <v/>
      </c>
      <c r="J1403" s="394" t="str">
        <f t="shared" si="99"/>
        <v/>
      </c>
      <c r="K1403" s="394" t="str">
        <f t="shared" si="100"/>
        <v/>
      </c>
    </row>
    <row r="1404" spans="8:11" x14ac:dyDescent="0.25">
      <c r="H1404" s="394" t="str">
        <f t="shared" si="97"/>
        <v/>
      </c>
      <c r="I1404" s="394" t="str">
        <f t="shared" si="98"/>
        <v/>
      </c>
      <c r="J1404" s="394" t="str">
        <f t="shared" si="99"/>
        <v/>
      </c>
      <c r="K1404" s="394" t="str">
        <f t="shared" si="100"/>
        <v/>
      </c>
    </row>
    <row r="1405" spans="8:11" x14ac:dyDescent="0.25">
      <c r="H1405" s="394" t="str">
        <f t="shared" si="97"/>
        <v/>
      </c>
      <c r="I1405" s="394" t="str">
        <f t="shared" si="98"/>
        <v/>
      </c>
      <c r="J1405" s="394" t="str">
        <f t="shared" si="99"/>
        <v/>
      </c>
      <c r="K1405" s="394" t="str">
        <f t="shared" si="100"/>
        <v/>
      </c>
    </row>
    <row r="1406" spans="8:11" x14ac:dyDescent="0.25">
      <c r="H1406" s="394" t="str">
        <f t="shared" si="97"/>
        <v/>
      </c>
      <c r="I1406" s="394" t="str">
        <f t="shared" si="98"/>
        <v/>
      </c>
      <c r="J1406" s="394" t="str">
        <f t="shared" si="99"/>
        <v/>
      </c>
      <c r="K1406" s="394" t="str">
        <f t="shared" si="100"/>
        <v/>
      </c>
    </row>
    <row r="1407" spans="8:11" x14ac:dyDescent="0.25">
      <c r="H1407" s="394" t="str">
        <f t="shared" si="97"/>
        <v/>
      </c>
      <c r="I1407" s="394" t="str">
        <f t="shared" si="98"/>
        <v/>
      </c>
      <c r="J1407" s="394" t="str">
        <f t="shared" si="99"/>
        <v/>
      </c>
      <c r="K1407" s="394" t="str">
        <f t="shared" si="100"/>
        <v/>
      </c>
    </row>
    <row r="1408" spans="8:11" x14ac:dyDescent="0.25">
      <c r="H1408" s="394" t="str">
        <f t="shared" si="97"/>
        <v/>
      </c>
      <c r="I1408" s="394" t="str">
        <f t="shared" si="98"/>
        <v/>
      </c>
      <c r="J1408" s="394" t="str">
        <f t="shared" si="99"/>
        <v/>
      </c>
      <c r="K1408" s="394" t="str">
        <f t="shared" si="100"/>
        <v/>
      </c>
    </row>
    <row r="1409" spans="8:11" x14ac:dyDescent="0.25">
      <c r="H1409" s="394" t="str">
        <f t="shared" si="97"/>
        <v/>
      </c>
      <c r="I1409" s="394" t="str">
        <f t="shared" si="98"/>
        <v/>
      </c>
      <c r="J1409" s="394" t="str">
        <f t="shared" si="99"/>
        <v/>
      </c>
      <c r="K1409" s="394" t="str">
        <f t="shared" si="100"/>
        <v/>
      </c>
    </row>
    <row r="1410" spans="8:11" x14ac:dyDescent="0.25">
      <c r="H1410" s="394" t="str">
        <f t="shared" si="97"/>
        <v/>
      </c>
      <c r="I1410" s="394" t="str">
        <f t="shared" si="98"/>
        <v/>
      </c>
      <c r="J1410" s="394" t="str">
        <f t="shared" si="99"/>
        <v/>
      </c>
      <c r="K1410" s="394" t="str">
        <f t="shared" si="100"/>
        <v/>
      </c>
    </row>
    <row r="1411" spans="8:11" x14ac:dyDescent="0.25">
      <c r="H1411" s="394" t="str">
        <f t="shared" si="97"/>
        <v/>
      </c>
      <c r="I1411" s="394" t="str">
        <f t="shared" si="98"/>
        <v/>
      </c>
      <c r="J1411" s="394" t="str">
        <f t="shared" si="99"/>
        <v/>
      </c>
      <c r="K1411" s="394" t="str">
        <f t="shared" si="100"/>
        <v/>
      </c>
    </row>
    <row r="1412" spans="8:11" x14ac:dyDescent="0.25">
      <c r="H1412" s="394" t="str">
        <f t="shared" si="97"/>
        <v/>
      </c>
      <c r="I1412" s="394" t="str">
        <f t="shared" si="98"/>
        <v/>
      </c>
      <c r="J1412" s="394" t="str">
        <f t="shared" si="99"/>
        <v/>
      </c>
      <c r="K1412" s="394" t="str">
        <f t="shared" si="100"/>
        <v/>
      </c>
    </row>
    <row r="1413" spans="8:11" x14ac:dyDescent="0.25">
      <c r="H1413" s="394" t="str">
        <f t="shared" si="97"/>
        <v/>
      </c>
      <c r="I1413" s="394" t="str">
        <f t="shared" si="98"/>
        <v/>
      </c>
      <c r="J1413" s="394" t="str">
        <f t="shared" si="99"/>
        <v/>
      </c>
      <c r="K1413" s="394" t="str">
        <f t="shared" si="100"/>
        <v/>
      </c>
    </row>
    <row r="1414" spans="8:11" x14ac:dyDescent="0.25">
      <c r="H1414" s="394" t="str">
        <f t="shared" si="97"/>
        <v/>
      </c>
      <c r="I1414" s="394" t="str">
        <f t="shared" si="98"/>
        <v/>
      </c>
      <c r="J1414" s="394" t="str">
        <f t="shared" si="99"/>
        <v/>
      </c>
      <c r="K1414" s="394" t="str">
        <f t="shared" si="100"/>
        <v/>
      </c>
    </row>
    <row r="1415" spans="8:11" x14ac:dyDescent="0.25">
      <c r="H1415" s="394" t="str">
        <f t="shared" si="97"/>
        <v/>
      </c>
      <c r="I1415" s="394" t="str">
        <f t="shared" si="98"/>
        <v/>
      </c>
      <c r="J1415" s="394" t="str">
        <f t="shared" si="99"/>
        <v/>
      </c>
      <c r="K1415" s="394" t="str">
        <f t="shared" si="100"/>
        <v/>
      </c>
    </row>
    <row r="1416" spans="8:11" x14ac:dyDescent="0.25">
      <c r="H1416" s="394" t="str">
        <f t="shared" si="97"/>
        <v/>
      </c>
      <c r="I1416" s="394" t="str">
        <f t="shared" si="98"/>
        <v/>
      </c>
      <c r="J1416" s="394" t="str">
        <f t="shared" si="99"/>
        <v/>
      </c>
      <c r="K1416" s="394" t="str">
        <f t="shared" si="100"/>
        <v/>
      </c>
    </row>
    <row r="1417" spans="8:11" x14ac:dyDescent="0.25">
      <c r="H1417" s="394" t="str">
        <f t="shared" si="97"/>
        <v/>
      </c>
      <c r="I1417" s="394" t="str">
        <f t="shared" si="98"/>
        <v/>
      </c>
      <c r="J1417" s="394" t="str">
        <f t="shared" si="99"/>
        <v/>
      </c>
      <c r="K1417" s="394" t="str">
        <f t="shared" si="100"/>
        <v/>
      </c>
    </row>
    <row r="1418" spans="8:11" x14ac:dyDescent="0.25">
      <c r="H1418" s="394" t="str">
        <f t="shared" si="97"/>
        <v/>
      </c>
      <c r="I1418" s="394" t="str">
        <f t="shared" si="98"/>
        <v/>
      </c>
      <c r="J1418" s="394" t="str">
        <f t="shared" si="99"/>
        <v/>
      </c>
      <c r="K1418" s="394" t="str">
        <f t="shared" si="100"/>
        <v/>
      </c>
    </row>
    <row r="1419" spans="8:11" x14ac:dyDescent="0.25">
      <c r="H1419" s="394" t="str">
        <f t="shared" si="97"/>
        <v/>
      </c>
      <c r="I1419" s="394" t="str">
        <f t="shared" si="98"/>
        <v/>
      </c>
      <c r="J1419" s="394" t="str">
        <f t="shared" si="99"/>
        <v/>
      </c>
      <c r="K1419" s="394" t="str">
        <f t="shared" si="100"/>
        <v/>
      </c>
    </row>
    <row r="1420" spans="8:11" x14ac:dyDescent="0.25">
      <c r="H1420" s="394" t="str">
        <f t="shared" si="97"/>
        <v/>
      </c>
      <c r="I1420" s="394" t="str">
        <f t="shared" si="98"/>
        <v/>
      </c>
      <c r="J1420" s="394" t="str">
        <f t="shared" si="99"/>
        <v/>
      </c>
      <c r="K1420" s="394" t="str">
        <f t="shared" si="100"/>
        <v/>
      </c>
    </row>
    <row r="1421" spans="8:11" x14ac:dyDescent="0.25">
      <c r="H1421" s="394" t="str">
        <f t="shared" si="97"/>
        <v/>
      </c>
      <c r="I1421" s="394" t="str">
        <f t="shared" si="98"/>
        <v/>
      </c>
      <c r="J1421" s="394" t="str">
        <f t="shared" si="99"/>
        <v/>
      </c>
      <c r="K1421" s="394" t="str">
        <f t="shared" si="100"/>
        <v/>
      </c>
    </row>
    <row r="1422" spans="8:11" x14ac:dyDescent="0.25">
      <c r="H1422" s="394" t="str">
        <f t="shared" si="97"/>
        <v/>
      </c>
      <c r="I1422" s="394" t="str">
        <f t="shared" si="98"/>
        <v/>
      </c>
      <c r="J1422" s="394" t="str">
        <f t="shared" si="99"/>
        <v/>
      </c>
      <c r="K1422" s="394" t="str">
        <f t="shared" si="100"/>
        <v/>
      </c>
    </row>
    <row r="1423" spans="8:11" x14ac:dyDescent="0.25">
      <c r="H1423" s="394" t="str">
        <f t="shared" si="97"/>
        <v/>
      </c>
      <c r="I1423" s="394" t="str">
        <f t="shared" si="98"/>
        <v/>
      </c>
      <c r="J1423" s="394" t="str">
        <f t="shared" si="99"/>
        <v/>
      </c>
      <c r="K1423" s="394" t="str">
        <f t="shared" si="100"/>
        <v/>
      </c>
    </row>
    <row r="1424" spans="8:11" x14ac:dyDescent="0.25">
      <c r="H1424" s="394" t="str">
        <f t="shared" si="97"/>
        <v/>
      </c>
      <c r="I1424" s="394" t="str">
        <f t="shared" si="98"/>
        <v/>
      </c>
      <c r="J1424" s="394" t="str">
        <f t="shared" si="99"/>
        <v/>
      </c>
      <c r="K1424" s="394" t="str">
        <f t="shared" si="100"/>
        <v/>
      </c>
    </row>
    <row r="1425" spans="8:11" x14ac:dyDescent="0.25">
      <c r="H1425" s="394" t="str">
        <f t="shared" si="97"/>
        <v/>
      </c>
      <c r="I1425" s="394" t="str">
        <f t="shared" si="98"/>
        <v/>
      </c>
      <c r="J1425" s="394" t="str">
        <f t="shared" si="99"/>
        <v/>
      </c>
      <c r="K1425" s="394" t="str">
        <f t="shared" si="100"/>
        <v/>
      </c>
    </row>
    <row r="1426" spans="8:11" x14ac:dyDescent="0.25">
      <c r="H1426" s="394" t="str">
        <f t="shared" si="97"/>
        <v/>
      </c>
      <c r="I1426" s="394" t="str">
        <f t="shared" si="98"/>
        <v/>
      </c>
      <c r="J1426" s="394" t="str">
        <f t="shared" si="99"/>
        <v/>
      </c>
      <c r="K1426" s="394" t="str">
        <f t="shared" si="100"/>
        <v/>
      </c>
    </row>
    <row r="1427" spans="8:11" x14ac:dyDescent="0.25">
      <c r="H1427" s="394" t="str">
        <f t="shared" si="97"/>
        <v/>
      </c>
      <c r="I1427" s="394" t="str">
        <f t="shared" si="98"/>
        <v/>
      </c>
      <c r="J1427" s="394" t="str">
        <f t="shared" si="99"/>
        <v/>
      </c>
      <c r="K1427" s="394" t="str">
        <f t="shared" si="100"/>
        <v/>
      </c>
    </row>
    <row r="1428" spans="8:11" x14ac:dyDescent="0.25">
      <c r="H1428" s="394" t="str">
        <f t="shared" si="97"/>
        <v/>
      </c>
      <c r="I1428" s="394" t="str">
        <f t="shared" si="98"/>
        <v/>
      </c>
      <c r="J1428" s="394" t="str">
        <f t="shared" si="99"/>
        <v/>
      </c>
      <c r="K1428" s="394" t="str">
        <f t="shared" si="100"/>
        <v/>
      </c>
    </row>
    <row r="1429" spans="8:11" x14ac:dyDescent="0.25">
      <c r="H1429" s="394" t="str">
        <f t="shared" si="97"/>
        <v/>
      </c>
      <c r="I1429" s="394" t="str">
        <f t="shared" si="98"/>
        <v/>
      </c>
      <c r="J1429" s="394" t="str">
        <f t="shared" si="99"/>
        <v/>
      </c>
      <c r="K1429" s="394" t="str">
        <f t="shared" si="100"/>
        <v/>
      </c>
    </row>
    <row r="1430" spans="8:11" x14ac:dyDescent="0.25">
      <c r="H1430" s="394" t="str">
        <f t="shared" si="97"/>
        <v/>
      </c>
      <c r="I1430" s="394" t="str">
        <f t="shared" si="98"/>
        <v/>
      </c>
      <c r="J1430" s="394" t="str">
        <f t="shared" si="99"/>
        <v/>
      </c>
      <c r="K1430" s="394" t="str">
        <f t="shared" si="100"/>
        <v/>
      </c>
    </row>
    <row r="1431" spans="8:11" x14ac:dyDescent="0.25">
      <c r="H1431" s="394" t="str">
        <f t="shared" si="97"/>
        <v/>
      </c>
      <c r="I1431" s="394" t="str">
        <f t="shared" si="98"/>
        <v/>
      </c>
      <c r="J1431" s="394" t="str">
        <f t="shared" si="99"/>
        <v/>
      </c>
      <c r="K1431" s="394" t="str">
        <f t="shared" si="100"/>
        <v/>
      </c>
    </row>
    <row r="1432" spans="8:11" x14ac:dyDescent="0.25">
      <c r="H1432" s="394" t="str">
        <f t="shared" si="97"/>
        <v/>
      </c>
      <c r="I1432" s="394" t="str">
        <f t="shared" si="98"/>
        <v/>
      </c>
      <c r="J1432" s="394" t="str">
        <f t="shared" si="99"/>
        <v/>
      </c>
      <c r="K1432" s="394" t="str">
        <f t="shared" si="100"/>
        <v/>
      </c>
    </row>
    <row r="1433" spans="8:11" x14ac:dyDescent="0.25">
      <c r="H1433" s="394" t="str">
        <f t="shared" si="97"/>
        <v/>
      </c>
      <c r="I1433" s="394" t="str">
        <f t="shared" si="98"/>
        <v/>
      </c>
      <c r="J1433" s="394" t="str">
        <f t="shared" si="99"/>
        <v/>
      </c>
      <c r="K1433" s="394" t="str">
        <f t="shared" si="100"/>
        <v/>
      </c>
    </row>
    <row r="1434" spans="8:11" x14ac:dyDescent="0.25">
      <c r="H1434" s="394" t="str">
        <f t="shared" si="97"/>
        <v/>
      </c>
      <c r="I1434" s="394" t="str">
        <f t="shared" si="98"/>
        <v/>
      </c>
      <c r="J1434" s="394" t="str">
        <f t="shared" si="99"/>
        <v/>
      </c>
      <c r="K1434" s="394" t="str">
        <f t="shared" si="100"/>
        <v/>
      </c>
    </row>
    <row r="1435" spans="8:11" x14ac:dyDescent="0.25">
      <c r="H1435" s="394" t="str">
        <f t="shared" si="97"/>
        <v/>
      </c>
      <c r="I1435" s="394" t="str">
        <f t="shared" si="98"/>
        <v/>
      </c>
      <c r="J1435" s="394" t="str">
        <f t="shared" si="99"/>
        <v/>
      </c>
      <c r="K1435" s="394" t="str">
        <f t="shared" si="100"/>
        <v/>
      </c>
    </row>
    <row r="1436" spans="8:11" x14ac:dyDescent="0.25">
      <c r="H1436" s="394" t="str">
        <f t="shared" si="97"/>
        <v/>
      </c>
      <c r="I1436" s="394" t="str">
        <f t="shared" si="98"/>
        <v/>
      </c>
      <c r="J1436" s="394" t="str">
        <f t="shared" si="99"/>
        <v/>
      </c>
      <c r="K1436" s="394" t="str">
        <f t="shared" si="100"/>
        <v/>
      </c>
    </row>
    <row r="1437" spans="8:11" x14ac:dyDescent="0.25">
      <c r="H1437" s="394" t="str">
        <f t="shared" si="97"/>
        <v/>
      </c>
      <c r="I1437" s="394" t="str">
        <f t="shared" si="98"/>
        <v/>
      </c>
      <c r="J1437" s="394" t="str">
        <f t="shared" si="99"/>
        <v/>
      </c>
      <c r="K1437" s="394" t="str">
        <f t="shared" si="100"/>
        <v/>
      </c>
    </row>
    <row r="1438" spans="8:11" x14ac:dyDescent="0.25">
      <c r="H1438" s="394" t="str">
        <f t="shared" si="97"/>
        <v/>
      </c>
      <c r="I1438" s="394" t="str">
        <f t="shared" si="98"/>
        <v/>
      </c>
      <c r="J1438" s="394" t="str">
        <f t="shared" si="99"/>
        <v/>
      </c>
      <c r="K1438" s="394" t="str">
        <f t="shared" si="100"/>
        <v/>
      </c>
    </row>
    <row r="1439" spans="8:11" x14ac:dyDescent="0.25">
      <c r="H1439" s="394" t="str">
        <f t="shared" si="97"/>
        <v/>
      </c>
      <c r="I1439" s="394" t="str">
        <f t="shared" si="98"/>
        <v/>
      </c>
      <c r="J1439" s="394" t="str">
        <f t="shared" si="99"/>
        <v/>
      </c>
      <c r="K1439" s="394" t="str">
        <f t="shared" si="100"/>
        <v/>
      </c>
    </row>
    <row r="1440" spans="8:11" x14ac:dyDescent="0.25">
      <c r="H1440" s="394" t="str">
        <f t="shared" si="97"/>
        <v/>
      </c>
      <c r="I1440" s="394" t="str">
        <f t="shared" si="98"/>
        <v/>
      </c>
      <c r="J1440" s="394" t="str">
        <f t="shared" si="99"/>
        <v/>
      </c>
      <c r="K1440" s="394" t="str">
        <f t="shared" si="100"/>
        <v/>
      </c>
    </row>
    <row r="1441" spans="8:11" x14ac:dyDescent="0.25">
      <c r="H1441" s="394" t="str">
        <f t="shared" si="97"/>
        <v/>
      </c>
      <c r="I1441" s="394" t="str">
        <f t="shared" si="98"/>
        <v/>
      </c>
      <c r="J1441" s="394" t="str">
        <f t="shared" si="99"/>
        <v/>
      </c>
      <c r="K1441" s="394" t="str">
        <f t="shared" si="100"/>
        <v/>
      </c>
    </row>
    <row r="1442" spans="8:11" x14ac:dyDescent="0.25">
      <c r="H1442" s="394" t="str">
        <f t="shared" si="97"/>
        <v/>
      </c>
      <c r="I1442" s="394" t="str">
        <f t="shared" si="98"/>
        <v/>
      </c>
      <c r="J1442" s="394" t="str">
        <f t="shared" si="99"/>
        <v/>
      </c>
      <c r="K1442" s="394" t="str">
        <f t="shared" si="100"/>
        <v/>
      </c>
    </row>
    <row r="1443" spans="8:11" x14ac:dyDescent="0.25">
      <c r="H1443" s="394" t="str">
        <f t="shared" si="97"/>
        <v/>
      </c>
      <c r="I1443" s="394" t="str">
        <f t="shared" si="98"/>
        <v/>
      </c>
      <c r="J1443" s="394" t="str">
        <f t="shared" si="99"/>
        <v/>
      </c>
      <c r="K1443" s="394" t="str">
        <f t="shared" si="100"/>
        <v/>
      </c>
    </row>
    <row r="1444" spans="8:11" x14ac:dyDescent="0.25">
      <c r="H1444" s="394" t="str">
        <f t="shared" si="97"/>
        <v/>
      </c>
      <c r="I1444" s="394" t="str">
        <f t="shared" si="98"/>
        <v/>
      </c>
      <c r="J1444" s="394" t="str">
        <f t="shared" si="99"/>
        <v/>
      </c>
      <c r="K1444" s="394" t="str">
        <f t="shared" si="100"/>
        <v/>
      </c>
    </row>
    <row r="1445" spans="8:11" x14ac:dyDescent="0.25">
      <c r="H1445" s="394" t="str">
        <f t="shared" si="97"/>
        <v/>
      </c>
      <c r="I1445" s="394" t="str">
        <f t="shared" si="98"/>
        <v/>
      </c>
      <c r="J1445" s="394" t="str">
        <f t="shared" si="99"/>
        <v/>
      </c>
      <c r="K1445" s="394" t="str">
        <f t="shared" si="100"/>
        <v/>
      </c>
    </row>
    <row r="1446" spans="8:11" x14ac:dyDescent="0.25">
      <c r="H1446" s="394" t="str">
        <f t="shared" si="97"/>
        <v/>
      </c>
      <c r="I1446" s="394" t="str">
        <f t="shared" si="98"/>
        <v/>
      </c>
      <c r="J1446" s="394" t="str">
        <f t="shared" si="99"/>
        <v/>
      </c>
      <c r="K1446" s="394" t="str">
        <f t="shared" si="100"/>
        <v/>
      </c>
    </row>
    <row r="1447" spans="8:11" x14ac:dyDescent="0.25">
      <c r="H1447" s="394" t="str">
        <f t="shared" si="97"/>
        <v/>
      </c>
      <c r="I1447" s="394" t="str">
        <f t="shared" si="98"/>
        <v/>
      </c>
      <c r="J1447" s="394" t="str">
        <f t="shared" si="99"/>
        <v/>
      </c>
      <c r="K1447" s="394" t="str">
        <f t="shared" si="100"/>
        <v/>
      </c>
    </row>
    <row r="1448" spans="8:11" x14ac:dyDescent="0.25">
      <c r="H1448" s="394" t="str">
        <f t="shared" si="97"/>
        <v/>
      </c>
      <c r="I1448" s="394" t="str">
        <f t="shared" si="98"/>
        <v/>
      </c>
      <c r="J1448" s="394" t="str">
        <f t="shared" si="99"/>
        <v/>
      </c>
      <c r="K1448" s="394" t="str">
        <f t="shared" si="100"/>
        <v/>
      </c>
    </row>
    <row r="1449" spans="8:11" x14ac:dyDescent="0.25">
      <c r="H1449" s="394" t="str">
        <f t="shared" ref="H1449:H1512" si="101">IF($C471="","",ROUND(($B$2*$F471*($B$5/1000))/$B$6,2))</f>
        <v/>
      </c>
      <c r="I1449" s="394" t="str">
        <f t="shared" ref="I1449:I1512" si="102">IF($C471="","",ROUND(($B$3*$F471*($B$5/1000))/$B$6,2))</f>
        <v/>
      </c>
      <c r="J1449" s="394" t="str">
        <f t="shared" ref="J1449:J1512" si="103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4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1"/>
        <v/>
      </c>
      <c r="I1450" s="394" t="str">
        <f t="shared" si="102"/>
        <v/>
      </c>
      <c r="J1450" s="394" t="str">
        <f t="shared" si="103"/>
        <v/>
      </c>
      <c r="K1450" s="394" t="str">
        <f t="shared" si="104"/>
        <v/>
      </c>
    </row>
    <row r="1451" spans="8:11" x14ac:dyDescent="0.25">
      <c r="H1451" s="394" t="str">
        <f t="shared" si="101"/>
        <v/>
      </c>
      <c r="I1451" s="394" t="str">
        <f t="shared" si="102"/>
        <v/>
      </c>
      <c r="J1451" s="394" t="str">
        <f t="shared" si="103"/>
        <v/>
      </c>
      <c r="K1451" s="394" t="str">
        <f t="shared" si="104"/>
        <v/>
      </c>
    </row>
    <row r="1452" spans="8:11" x14ac:dyDescent="0.25">
      <c r="H1452" s="394" t="str">
        <f t="shared" si="101"/>
        <v/>
      </c>
      <c r="I1452" s="394" t="str">
        <f t="shared" si="102"/>
        <v/>
      </c>
      <c r="J1452" s="394" t="str">
        <f t="shared" si="103"/>
        <v/>
      </c>
      <c r="K1452" s="394" t="str">
        <f t="shared" si="104"/>
        <v/>
      </c>
    </row>
    <row r="1453" spans="8:11" x14ac:dyDescent="0.25">
      <c r="H1453" s="394" t="str">
        <f t="shared" si="101"/>
        <v/>
      </c>
      <c r="I1453" s="394" t="str">
        <f t="shared" si="102"/>
        <v/>
      </c>
      <c r="J1453" s="394" t="str">
        <f t="shared" si="103"/>
        <v/>
      </c>
      <c r="K1453" s="394" t="str">
        <f t="shared" si="104"/>
        <v/>
      </c>
    </row>
    <row r="1454" spans="8:11" x14ac:dyDescent="0.25">
      <c r="H1454" s="394" t="str">
        <f t="shared" si="101"/>
        <v/>
      </c>
      <c r="I1454" s="394" t="str">
        <f t="shared" si="102"/>
        <v/>
      </c>
      <c r="J1454" s="394" t="str">
        <f t="shared" si="103"/>
        <v/>
      </c>
      <c r="K1454" s="394" t="str">
        <f t="shared" si="104"/>
        <v/>
      </c>
    </row>
    <row r="1455" spans="8:11" x14ac:dyDescent="0.25">
      <c r="H1455" s="394" t="str">
        <f t="shared" si="101"/>
        <v/>
      </c>
      <c r="I1455" s="394" t="str">
        <f t="shared" si="102"/>
        <v/>
      </c>
      <c r="J1455" s="394" t="str">
        <f t="shared" si="103"/>
        <v/>
      </c>
      <c r="K1455" s="394" t="str">
        <f t="shared" si="104"/>
        <v/>
      </c>
    </row>
    <row r="1456" spans="8:11" x14ac:dyDescent="0.25">
      <c r="H1456" s="394" t="str">
        <f t="shared" si="101"/>
        <v/>
      </c>
      <c r="I1456" s="394" t="str">
        <f t="shared" si="102"/>
        <v/>
      </c>
      <c r="J1456" s="394" t="str">
        <f t="shared" si="103"/>
        <v/>
      </c>
      <c r="K1456" s="394" t="str">
        <f t="shared" si="104"/>
        <v/>
      </c>
    </row>
    <row r="1457" spans="8:11" x14ac:dyDescent="0.25">
      <c r="H1457" s="394" t="str">
        <f t="shared" si="101"/>
        <v/>
      </c>
      <c r="I1457" s="394" t="str">
        <f t="shared" si="102"/>
        <v/>
      </c>
      <c r="J1457" s="394" t="str">
        <f t="shared" si="103"/>
        <v/>
      </c>
      <c r="K1457" s="394" t="str">
        <f t="shared" si="104"/>
        <v/>
      </c>
    </row>
    <row r="1458" spans="8:11" x14ac:dyDescent="0.25">
      <c r="H1458" s="394" t="str">
        <f t="shared" si="101"/>
        <v/>
      </c>
      <c r="I1458" s="394" t="str">
        <f t="shared" si="102"/>
        <v/>
      </c>
      <c r="J1458" s="394" t="str">
        <f t="shared" si="103"/>
        <v/>
      </c>
      <c r="K1458" s="394" t="str">
        <f t="shared" si="104"/>
        <v/>
      </c>
    </row>
    <row r="1459" spans="8:11" x14ac:dyDescent="0.25">
      <c r="H1459" s="394" t="str">
        <f t="shared" si="101"/>
        <v/>
      </c>
      <c r="I1459" s="394" t="str">
        <f t="shared" si="102"/>
        <v/>
      </c>
      <c r="J1459" s="394" t="str">
        <f t="shared" si="103"/>
        <v/>
      </c>
      <c r="K1459" s="394" t="str">
        <f t="shared" si="104"/>
        <v/>
      </c>
    </row>
    <row r="1460" spans="8:11" x14ac:dyDescent="0.25">
      <c r="H1460" s="394" t="str">
        <f t="shared" si="101"/>
        <v/>
      </c>
      <c r="I1460" s="394" t="str">
        <f t="shared" si="102"/>
        <v/>
      </c>
      <c r="J1460" s="394" t="str">
        <f t="shared" si="103"/>
        <v/>
      </c>
      <c r="K1460" s="394" t="str">
        <f t="shared" si="104"/>
        <v/>
      </c>
    </row>
    <row r="1461" spans="8:11" x14ac:dyDescent="0.25">
      <c r="H1461" s="394" t="str">
        <f t="shared" si="101"/>
        <v/>
      </c>
      <c r="I1461" s="394" t="str">
        <f t="shared" si="102"/>
        <v/>
      </c>
      <c r="J1461" s="394" t="str">
        <f t="shared" si="103"/>
        <v/>
      </c>
      <c r="K1461" s="394" t="str">
        <f t="shared" si="104"/>
        <v/>
      </c>
    </row>
    <row r="1462" spans="8:11" x14ac:dyDescent="0.25">
      <c r="H1462" s="394" t="str">
        <f t="shared" si="101"/>
        <v/>
      </c>
      <c r="I1462" s="394" t="str">
        <f t="shared" si="102"/>
        <v/>
      </c>
      <c r="J1462" s="394" t="str">
        <f t="shared" si="103"/>
        <v/>
      </c>
      <c r="K1462" s="394" t="str">
        <f t="shared" si="104"/>
        <v/>
      </c>
    </row>
    <row r="1463" spans="8:11" x14ac:dyDescent="0.25">
      <c r="H1463" s="394" t="str">
        <f t="shared" si="101"/>
        <v/>
      </c>
      <c r="I1463" s="394" t="str">
        <f t="shared" si="102"/>
        <v/>
      </c>
      <c r="J1463" s="394" t="str">
        <f t="shared" si="103"/>
        <v/>
      </c>
      <c r="K1463" s="394" t="str">
        <f t="shared" si="104"/>
        <v/>
      </c>
    </row>
    <row r="1464" spans="8:11" x14ac:dyDescent="0.25">
      <c r="H1464" s="394" t="str">
        <f t="shared" si="101"/>
        <v/>
      </c>
      <c r="I1464" s="394" t="str">
        <f t="shared" si="102"/>
        <v/>
      </c>
      <c r="J1464" s="394" t="str">
        <f t="shared" si="103"/>
        <v/>
      </c>
      <c r="K1464" s="394" t="str">
        <f t="shared" si="104"/>
        <v/>
      </c>
    </row>
    <row r="1465" spans="8:11" x14ac:dyDescent="0.25">
      <c r="H1465" s="394" t="str">
        <f t="shared" si="101"/>
        <v/>
      </c>
      <c r="I1465" s="394" t="str">
        <f t="shared" si="102"/>
        <v/>
      </c>
      <c r="J1465" s="394" t="str">
        <f t="shared" si="103"/>
        <v/>
      </c>
      <c r="K1465" s="394" t="str">
        <f t="shared" si="104"/>
        <v/>
      </c>
    </row>
    <row r="1466" spans="8:11" x14ac:dyDescent="0.25">
      <c r="H1466" s="394" t="str">
        <f t="shared" si="101"/>
        <v/>
      </c>
      <c r="I1466" s="394" t="str">
        <f t="shared" si="102"/>
        <v/>
      </c>
      <c r="J1466" s="394" t="str">
        <f t="shared" si="103"/>
        <v/>
      </c>
      <c r="K1466" s="394" t="str">
        <f t="shared" si="104"/>
        <v/>
      </c>
    </row>
    <row r="1467" spans="8:11" x14ac:dyDescent="0.25">
      <c r="H1467" s="394" t="str">
        <f t="shared" si="101"/>
        <v/>
      </c>
      <c r="I1467" s="394" t="str">
        <f t="shared" si="102"/>
        <v/>
      </c>
      <c r="J1467" s="394" t="str">
        <f t="shared" si="103"/>
        <v/>
      </c>
      <c r="K1467" s="394" t="str">
        <f t="shared" si="104"/>
        <v/>
      </c>
    </row>
    <row r="1468" spans="8:11" x14ac:dyDescent="0.25">
      <c r="H1468" s="394" t="str">
        <f t="shared" si="101"/>
        <v/>
      </c>
      <c r="I1468" s="394" t="str">
        <f t="shared" si="102"/>
        <v/>
      </c>
      <c r="J1468" s="394" t="str">
        <f t="shared" si="103"/>
        <v/>
      </c>
      <c r="K1468" s="394" t="str">
        <f t="shared" si="104"/>
        <v/>
      </c>
    </row>
    <row r="1469" spans="8:11" x14ac:dyDescent="0.25">
      <c r="H1469" s="394" t="str">
        <f t="shared" si="101"/>
        <v/>
      </c>
      <c r="I1469" s="394" t="str">
        <f t="shared" si="102"/>
        <v/>
      </c>
      <c r="J1469" s="394" t="str">
        <f t="shared" si="103"/>
        <v/>
      </c>
      <c r="K1469" s="394" t="str">
        <f t="shared" si="104"/>
        <v/>
      </c>
    </row>
    <row r="1470" spans="8:11" x14ac:dyDescent="0.25">
      <c r="H1470" s="394" t="str">
        <f t="shared" si="101"/>
        <v/>
      </c>
      <c r="I1470" s="394" t="str">
        <f t="shared" si="102"/>
        <v/>
      </c>
      <c r="J1470" s="394" t="str">
        <f t="shared" si="103"/>
        <v/>
      </c>
      <c r="K1470" s="394" t="str">
        <f t="shared" si="104"/>
        <v/>
      </c>
    </row>
    <row r="1471" spans="8:11" x14ac:dyDescent="0.25">
      <c r="H1471" s="394" t="str">
        <f t="shared" si="101"/>
        <v/>
      </c>
      <c r="I1471" s="394" t="str">
        <f t="shared" si="102"/>
        <v/>
      </c>
      <c r="J1471" s="394" t="str">
        <f t="shared" si="103"/>
        <v/>
      </c>
      <c r="K1471" s="394" t="str">
        <f t="shared" si="104"/>
        <v/>
      </c>
    </row>
    <row r="1472" spans="8:11" x14ac:dyDescent="0.25">
      <c r="H1472" s="394" t="str">
        <f t="shared" si="101"/>
        <v/>
      </c>
      <c r="I1472" s="394" t="str">
        <f t="shared" si="102"/>
        <v/>
      </c>
      <c r="J1472" s="394" t="str">
        <f t="shared" si="103"/>
        <v/>
      </c>
      <c r="K1472" s="394" t="str">
        <f t="shared" si="104"/>
        <v/>
      </c>
    </row>
    <row r="1473" spans="8:11" x14ac:dyDescent="0.25">
      <c r="H1473" s="394" t="str">
        <f t="shared" si="101"/>
        <v/>
      </c>
      <c r="I1473" s="394" t="str">
        <f t="shared" si="102"/>
        <v/>
      </c>
      <c r="J1473" s="394" t="str">
        <f t="shared" si="103"/>
        <v/>
      </c>
      <c r="K1473" s="394" t="str">
        <f t="shared" si="104"/>
        <v/>
      </c>
    </row>
    <row r="1474" spans="8:11" x14ac:dyDescent="0.25">
      <c r="H1474" s="394" t="str">
        <f t="shared" si="101"/>
        <v/>
      </c>
      <c r="I1474" s="394" t="str">
        <f t="shared" si="102"/>
        <v/>
      </c>
      <c r="J1474" s="394" t="str">
        <f t="shared" si="103"/>
        <v/>
      </c>
      <c r="K1474" s="394" t="str">
        <f t="shared" si="104"/>
        <v/>
      </c>
    </row>
    <row r="1475" spans="8:11" x14ac:dyDescent="0.25">
      <c r="H1475" s="394" t="str">
        <f t="shared" si="101"/>
        <v/>
      </c>
      <c r="I1475" s="394" t="str">
        <f t="shared" si="102"/>
        <v/>
      </c>
      <c r="J1475" s="394" t="str">
        <f t="shared" si="103"/>
        <v/>
      </c>
      <c r="K1475" s="394" t="str">
        <f t="shared" si="104"/>
        <v/>
      </c>
    </row>
    <row r="1476" spans="8:11" x14ac:dyDescent="0.25">
      <c r="H1476" s="394" t="str">
        <f t="shared" si="101"/>
        <v/>
      </c>
      <c r="I1476" s="394" t="str">
        <f t="shared" si="102"/>
        <v/>
      </c>
      <c r="J1476" s="394" t="str">
        <f t="shared" si="103"/>
        <v/>
      </c>
      <c r="K1476" s="394" t="str">
        <f t="shared" si="104"/>
        <v/>
      </c>
    </row>
    <row r="1477" spans="8:11" x14ac:dyDescent="0.25">
      <c r="H1477" s="394" t="str">
        <f t="shared" si="101"/>
        <v/>
      </c>
      <c r="I1477" s="394" t="str">
        <f t="shared" si="102"/>
        <v/>
      </c>
      <c r="J1477" s="394" t="str">
        <f t="shared" si="103"/>
        <v/>
      </c>
      <c r="K1477" s="394" t="str">
        <f t="shared" si="104"/>
        <v/>
      </c>
    </row>
    <row r="1478" spans="8:11" x14ac:dyDescent="0.25">
      <c r="H1478" s="394" t="str">
        <f t="shared" si="101"/>
        <v/>
      </c>
      <c r="I1478" s="394" t="str">
        <f t="shared" si="102"/>
        <v/>
      </c>
      <c r="J1478" s="394" t="str">
        <f t="shared" si="103"/>
        <v/>
      </c>
      <c r="K1478" s="394" t="str">
        <f t="shared" si="104"/>
        <v/>
      </c>
    </row>
    <row r="1479" spans="8:11" x14ac:dyDescent="0.25">
      <c r="H1479" s="394" t="str">
        <f t="shared" si="101"/>
        <v/>
      </c>
      <c r="I1479" s="394" t="str">
        <f t="shared" si="102"/>
        <v/>
      </c>
      <c r="J1479" s="394" t="str">
        <f t="shared" si="103"/>
        <v/>
      </c>
      <c r="K1479" s="394" t="str">
        <f t="shared" si="104"/>
        <v/>
      </c>
    </row>
    <row r="1480" spans="8:11" x14ac:dyDescent="0.25">
      <c r="H1480" s="394" t="str">
        <f t="shared" si="101"/>
        <v/>
      </c>
      <c r="I1480" s="394" t="str">
        <f t="shared" si="102"/>
        <v/>
      </c>
      <c r="J1480" s="394" t="str">
        <f t="shared" si="103"/>
        <v/>
      </c>
      <c r="K1480" s="394" t="str">
        <f t="shared" si="104"/>
        <v/>
      </c>
    </row>
    <row r="1481" spans="8:11" x14ac:dyDescent="0.25">
      <c r="H1481" s="394" t="str">
        <f t="shared" si="101"/>
        <v/>
      </c>
      <c r="I1481" s="394" t="str">
        <f t="shared" si="102"/>
        <v/>
      </c>
      <c r="J1481" s="394" t="str">
        <f t="shared" si="103"/>
        <v/>
      </c>
      <c r="K1481" s="394" t="str">
        <f t="shared" si="104"/>
        <v/>
      </c>
    </row>
    <row r="1482" spans="8:11" x14ac:dyDescent="0.25">
      <c r="H1482" s="394" t="str">
        <f t="shared" si="101"/>
        <v/>
      </c>
      <c r="I1482" s="394" t="str">
        <f t="shared" si="102"/>
        <v/>
      </c>
      <c r="J1482" s="394" t="str">
        <f t="shared" si="103"/>
        <v/>
      </c>
      <c r="K1482" s="394" t="str">
        <f t="shared" si="104"/>
        <v/>
      </c>
    </row>
    <row r="1483" spans="8:11" x14ac:dyDescent="0.25">
      <c r="H1483" s="394" t="str">
        <f t="shared" si="101"/>
        <v/>
      </c>
      <c r="I1483" s="394" t="str">
        <f t="shared" si="102"/>
        <v/>
      </c>
      <c r="J1483" s="394" t="str">
        <f t="shared" si="103"/>
        <v/>
      </c>
      <c r="K1483" s="394" t="str">
        <f t="shared" si="104"/>
        <v/>
      </c>
    </row>
    <row r="1484" spans="8:11" x14ac:dyDescent="0.25">
      <c r="H1484" s="394" t="str">
        <f t="shared" si="101"/>
        <v/>
      </c>
      <c r="I1484" s="394" t="str">
        <f t="shared" si="102"/>
        <v/>
      </c>
      <c r="J1484" s="394" t="str">
        <f t="shared" si="103"/>
        <v/>
      </c>
      <c r="K1484" s="394" t="str">
        <f t="shared" si="104"/>
        <v/>
      </c>
    </row>
    <row r="1485" spans="8:11" x14ac:dyDescent="0.25">
      <c r="H1485" s="394" t="str">
        <f t="shared" si="101"/>
        <v/>
      </c>
      <c r="I1485" s="394" t="str">
        <f t="shared" si="102"/>
        <v/>
      </c>
      <c r="J1485" s="394" t="str">
        <f t="shared" si="103"/>
        <v/>
      </c>
      <c r="K1485" s="394" t="str">
        <f t="shared" si="104"/>
        <v/>
      </c>
    </row>
    <row r="1486" spans="8:11" x14ac:dyDescent="0.25">
      <c r="H1486" s="394" t="str">
        <f t="shared" si="101"/>
        <v/>
      </c>
      <c r="I1486" s="394" t="str">
        <f t="shared" si="102"/>
        <v/>
      </c>
      <c r="J1486" s="394" t="str">
        <f t="shared" si="103"/>
        <v/>
      </c>
      <c r="K1486" s="394" t="str">
        <f t="shared" si="104"/>
        <v/>
      </c>
    </row>
    <row r="1487" spans="8:11" x14ac:dyDescent="0.25">
      <c r="H1487" s="394" t="str">
        <f t="shared" si="101"/>
        <v/>
      </c>
      <c r="I1487" s="394" t="str">
        <f t="shared" si="102"/>
        <v/>
      </c>
      <c r="J1487" s="394" t="str">
        <f t="shared" si="103"/>
        <v/>
      </c>
      <c r="K1487" s="394" t="str">
        <f t="shared" si="104"/>
        <v/>
      </c>
    </row>
    <row r="1488" spans="8:11" x14ac:dyDescent="0.25">
      <c r="H1488" s="394" t="str">
        <f t="shared" si="101"/>
        <v/>
      </c>
      <c r="I1488" s="394" t="str">
        <f t="shared" si="102"/>
        <v/>
      </c>
      <c r="J1488" s="394" t="str">
        <f t="shared" si="103"/>
        <v/>
      </c>
      <c r="K1488" s="394" t="str">
        <f t="shared" si="104"/>
        <v/>
      </c>
    </row>
    <row r="1489" spans="8:11" x14ac:dyDescent="0.25">
      <c r="H1489" s="394" t="str">
        <f t="shared" si="101"/>
        <v/>
      </c>
      <c r="I1489" s="394" t="str">
        <f t="shared" si="102"/>
        <v/>
      </c>
      <c r="J1489" s="394" t="str">
        <f t="shared" si="103"/>
        <v/>
      </c>
      <c r="K1489" s="394" t="str">
        <f t="shared" si="104"/>
        <v/>
      </c>
    </row>
    <row r="1490" spans="8:11" x14ac:dyDescent="0.25">
      <c r="H1490" s="394" t="str">
        <f t="shared" si="101"/>
        <v/>
      </c>
      <c r="I1490" s="394" t="str">
        <f t="shared" si="102"/>
        <v/>
      </c>
      <c r="J1490" s="394" t="str">
        <f t="shared" si="103"/>
        <v/>
      </c>
      <c r="K1490" s="394" t="str">
        <f t="shared" si="104"/>
        <v/>
      </c>
    </row>
    <row r="1491" spans="8:11" x14ac:dyDescent="0.25">
      <c r="H1491" s="394" t="str">
        <f t="shared" si="101"/>
        <v/>
      </c>
      <c r="I1491" s="394" t="str">
        <f t="shared" si="102"/>
        <v/>
      </c>
      <c r="J1491" s="394" t="str">
        <f t="shared" si="103"/>
        <v/>
      </c>
      <c r="K1491" s="394" t="str">
        <f t="shared" si="104"/>
        <v/>
      </c>
    </row>
    <row r="1492" spans="8:11" x14ac:dyDescent="0.25">
      <c r="H1492" s="394" t="str">
        <f t="shared" si="101"/>
        <v/>
      </c>
      <c r="I1492" s="394" t="str">
        <f t="shared" si="102"/>
        <v/>
      </c>
      <c r="J1492" s="394" t="str">
        <f t="shared" si="103"/>
        <v/>
      </c>
      <c r="K1492" s="394" t="str">
        <f t="shared" si="104"/>
        <v/>
      </c>
    </row>
    <row r="1493" spans="8:11" x14ac:dyDescent="0.25">
      <c r="H1493" s="394" t="str">
        <f t="shared" si="101"/>
        <v/>
      </c>
      <c r="I1493" s="394" t="str">
        <f t="shared" si="102"/>
        <v/>
      </c>
      <c r="J1493" s="394" t="str">
        <f t="shared" si="103"/>
        <v/>
      </c>
      <c r="K1493" s="394" t="str">
        <f t="shared" si="104"/>
        <v/>
      </c>
    </row>
    <row r="1494" spans="8:11" x14ac:dyDescent="0.25">
      <c r="H1494" s="394" t="str">
        <f t="shared" si="101"/>
        <v/>
      </c>
      <c r="I1494" s="394" t="str">
        <f t="shared" si="102"/>
        <v/>
      </c>
      <c r="J1494" s="394" t="str">
        <f t="shared" si="103"/>
        <v/>
      </c>
      <c r="K1494" s="394" t="str">
        <f t="shared" si="104"/>
        <v/>
      </c>
    </row>
    <row r="1495" spans="8:11" x14ac:dyDescent="0.25">
      <c r="H1495" s="394" t="str">
        <f t="shared" si="101"/>
        <v/>
      </c>
      <c r="I1495" s="394" t="str">
        <f t="shared" si="102"/>
        <v/>
      </c>
      <c r="J1495" s="394" t="str">
        <f t="shared" si="103"/>
        <v/>
      </c>
      <c r="K1495" s="394" t="str">
        <f t="shared" si="104"/>
        <v/>
      </c>
    </row>
    <row r="1496" spans="8:11" x14ac:dyDescent="0.25">
      <c r="H1496" s="394" t="str">
        <f t="shared" si="101"/>
        <v/>
      </c>
      <c r="I1496" s="394" t="str">
        <f t="shared" si="102"/>
        <v/>
      </c>
      <c r="J1496" s="394" t="str">
        <f t="shared" si="103"/>
        <v/>
      </c>
      <c r="K1496" s="394" t="str">
        <f t="shared" si="104"/>
        <v/>
      </c>
    </row>
    <row r="1497" spans="8:11" x14ac:dyDescent="0.25">
      <c r="H1497" s="394" t="str">
        <f t="shared" si="101"/>
        <v/>
      </c>
      <c r="I1497" s="394" t="str">
        <f t="shared" si="102"/>
        <v/>
      </c>
      <c r="J1497" s="394" t="str">
        <f t="shared" si="103"/>
        <v/>
      </c>
      <c r="K1497" s="394" t="str">
        <f t="shared" si="104"/>
        <v/>
      </c>
    </row>
    <row r="1498" spans="8:11" x14ac:dyDescent="0.25">
      <c r="H1498" s="394" t="str">
        <f t="shared" si="101"/>
        <v/>
      </c>
      <c r="I1498" s="394" t="str">
        <f t="shared" si="102"/>
        <v/>
      </c>
      <c r="J1498" s="394" t="str">
        <f t="shared" si="103"/>
        <v/>
      </c>
      <c r="K1498" s="394" t="str">
        <f t="shared" si="104"/>
        <v/>
      </c>
    </row>
    <row r="1499" spans="8:11" x14ac:dyDescent="0.25">
      <c r="H1499" s="394" t="str">
        <f t="shared" si="101"/>
        <v/>
      </c>
      <c r="I1499" s="394" t="str">
        <f t="shared" si="102"/>
        <v/>
      </c>
      <c r="J1499" s="394" t="str">
        <f t="shared" si="103"/>
        <v/>
      </c>
      <c r="K1499" s="394" t="str">
        <f t="shared" si="104"/>
        <v/>
      </c>
    </row>
    <row r="1500" spans="8:11" x14ac:dyDescent="0.25">
      <c r="H1500" s="394" t="str">
        <f t="shared" si="101"/>
        <v/>
      </c>
      <c r="I1500" s="394" t="str">
        <f t="shared" si="102"/>
        <v/>
      </c>
      <c r="J1500" s="394" t="str">
        <f t="shared" si="103"/>
        <v/>
      </c>
      <c r="K1500" s="394" t="str">
        <f t="shared" si="104"/>
        <v/>
      </c>
    </row>
    <row r="1501" spans="8:11" x14ac:dyDescent="0.25">
      <c r="H1501" s="394" t="str">
        <f t="shared" si="101"/>
        <v/>
      </c>
      <c r="I1501" s="394" t="str">
        <f t="shared" si="102"/>
        <v/>
      </c>
      <c r="J1501" s="394" t="str">
        <f t="shared" si="103"/>
        <v/>
      </c>
      <c r="K1501" s="394" t="str">
        <f t="shared" si="104"/>
        <v/>
      </c>
    </row>
    <row r="1502" spans="8:11" x14ac:dyDescent="0.25">
      <c r="H1502" s="394" t="str">
        <f t="shared" si="101"/>
        <v/>
      </c>
      <c r="I1502" s="394" t="str">
        <f t="shared" si="102"/>
        <v/>
      </c>
      <c r="J1502" s="394" t="str">
        <f t="shared" si="103"/>
        <v/>
      </c>
      <c r="K1502" s="394" t="str">
        <f t="shared" si="104"/>
        <v/>
      </c>
    </row>
    <row r="1503" spans="8:11" x14ac:dyDescent="0.25">
      <c r="H1503" s="394" t="str">
        <f t="shared" si="101"/>
        <v/>
      </c>
      <c r="I1503" s="394" t="str">
        <f t="shared" si="102"/>
        <v/>
      </c>
      <c r="J1503" s="394" t="str">
        <f t="shared" si="103"/>
        <v/>
      </c>
      <c r="K1503" s="394" t="str">
        <f t="shared" si="104"/>
        <v/>
      </c>
    </row>
    <row r="1504" spans="8:11" x14ac:dyDescent="0.25">
      <c r="H1504" s="394" t="str">
        <f t="shared" si="101"/>
        <v/>
      </c>
      <c r="I1504" s="394" t="str">
        <f t="shared" si="102"/>
        <v/>
      </c>
      <c r="J1504" s="394" t="str">
        <f t="shared" si="103"/>
        <v/>
      </c>
      <c r="K1504" s="394" t="str">
        <f t="shared" si="104"/>
        <v/>
      </c>
    </row>
    <row r="1505" spans="8:11" x14ac:dyDescent="0.25">
      <c r="H1505" s="394" t="str">
        <f t="shared" si="101"/>
        <v/>
      </c>
      <c r="I1505" s="394" t="str">
        <f t="shared" si="102"/>
        <v/>
      </c>
      <c r="J1505" s="394" t="str">
        <f t="shared" si="103"/>
        <v/>
      </c>
      <c r="K1505" s="394" t="str">
        <f t="shared" si="104"/>
        <v/>
      </c>
    </row>
    <row r="1506" spans="8:11" x14ac:dyDescent="0.25">
      <c r="H1506" s="394" t="str">
        <f t="shared" si="101"/>
        <v/>
      </c>
      <c r="I1506" s="394" t="str">
        <f t="shared" si="102"/>
        <v/>
      </c>
      <c r="J1506" s="394" t="str">
        <f t="shared" si="103"/>
        <v/>
      </c>
      <c r="K1506" s="394" t="str">
        <f t="shared" si="104"/>
        <v/>
      </c>
    </row>
    <row r="1507" spans="8:11" x14ac:dyDescent="0.25">
      <c r="H1507" s="394" t="str">
        <f t="shared" si="101"/>
        <v/>
      </c>
      <c r="I1507" s="394" t="str">
        <f t="shared" si="102"/>
        <v/>
      </c>
      <c r="J1507" s="394" t="str">
        <f t="shared" si="103"/>
        <v/>
      </c>
      <c r="K1507" s="394" t="str">
        <f t="shared" si="104"/>
        <v/>
      </c>
    </row>
    <row r="1508" spans="8:11" x14ac:dyDescent="0.25">
      <c r="H1508" s="394" t="str">
        <f t="shared" si="101"/>
        <v/>
      </c>
      <c r="I1508" s="394" t="str">
        <f t="shared" si="102"/>
        <v/>
      </c>
      <c r="J1508" s="394" t="str">
        <f t="shared" si="103"/>
        <v/>
      </c>
      <c r="K1508" s="394" t="str">
        <f t="shared" si="104"/>
        <v/>
      </c>
    </row>
    <row r="1509" spans="8:11" x14ac:dyDescent="0.25">
      <c r="H1509" s="394" t="str">
        <f t="shared" si="101"/>
        <v/>
      </c>
      <c r="I1509" s="394" t="str">
        <f t="shared" si="102"/>
        <v/>
      </c>
      <c r="J1509" s="394" t="str">
        <f t="shared" si="103"/>
        <v/>
      </c>
      <c r="K1509" s="394" t="str">
        <f t="shared" si="104"/>
        <v/>
      </c>
    </row>
    <row r="1510" spans="8:11" x14ac:dyDescent="0.25">
      <c r="H1510" s="394" t="str">
        <f t="shared" si="101"/>
        <v/>
      </c>
      <c r="I1510" s="394" t="str">
        <f t="shared" si="102"/>
        <v/>
      </c>
      <c r="J1510" s="394" t="str">
        <f t="shared" si="103"/>
        <v/>
      </c>
      <c r="K1510" s="394" t="str">
        <f t="shared" si="104"/>
        <v/>
      </c>
    </row>
    <row r="1511" spans="8:11" x14ac:dyDescent="0.25">
      <c r="H1511" s="394" t="str">
        <f t="shared" si="101"/>
        <v/>
      </c>
      <c r="I1511" s="394" t="str">
        <f t="shared" si="102"/>
        <v/>
      </c>
      <c r="J1511" s="394" t="str">
        <f t="shared" si="103"/>
        <v/>
      </c>
      <c r="K1511" s="394" t="str">
        <f t="shared" si="104"/>
        <v/>
      </c>
    </row>
    <row r="1512" spans="8:11" x14ac:dyDescent="0.25">
      <c r="H1512" s="394" t="str">
        <f t="shared" si="101"/>
        <v/>
      </c>
      <c r="I1512" s="394" t="str">
        <f t="shared" si="102"/>
        <v/>
      </c>
      <c r="J1512" s="394" t="str">
        <f t="shared" si="103"/>
        <v/>
      </c>
      <c r="K1512" s="394" t="str">
        <f t="shared" si="104"/>
        <v/>
      </c>
    </row>
    <row r="1513" spans="8:11" x14ac:dyDescent="0.25">
      <c r="H1513" s="394" t="str">
        <f t="shared" ref="H1513:H1576" si="105">IF($C535="","",ROUND(($B$2*$F535*($B$5/1000))/$B$6,2))</f>
        <v/>
      </c>
      <c r="I1513" s="394" t="str">
        <f t="shared" ref="I1513:I1576" si="106">IF($C535="","",ROUND(($B$3*$F535*($B$5/1000))/$B$6,2))</f>
        <v/>
      </c>
      <c r="J1513" s="394" t="str">
        <f t="shared" ref="J1513:J1576" si="107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08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5"/>
        <v/>
      </c>
      <c r="I1514" s="394" t="str">
        <f t="shared" si="106"/>
        <v/>
      </c>
      <c r="J1514" s="394" t="str">
        <f t="shared" si="107"/>
        <v/>
      </c>
      <c r="K1514" s="394" t="str">
        <f t="shared" si="108"/>
        <v/>
      </c>
    </row>
    <row r="1515" spans="8:11" x14ac:dyDescent="0.25">
      <c r="H1515" s="394" t="str">
        <f t="shared" si="105"/>
        <v/>
      </c>
      <c r="I1515" s="394" t="str">
        <f t="shared" si="106"/>
        <v/>
      </c>
      <c r="J1515" s="394" t="str">
        <f t="shared" si="107"/>
        <v/>
      </c>
      <c r="K1515" s="394" t="str">
        <f t="shared" si="108"/>
        <v/>
      </c>
    </row>
    <row r="1516" spans="8:11" x14ac:dyDescent="0.25">
      <c r="H1516" s="394" t="str">
        <f t="shared" si="105"/>
        <v/>
      </c>
      <c r="I1516" s="394" t="str">
        <f t="shared" si="106"/>
        <v/>
      </c>
      <c r="J1516" s="394" t="str">
        <f t="shared" si="107"/>
        <v/>
      </c>
      <c r="K1516" s="394" t="str">
        <f t="shared" si="108"/>
        <v/>
      </c>
    </row>
    <row r="1517" spans="8:11" x14ac:dyDescent="0.25">
      <c r="H1517" s="394" t="str">
        <f t="shared" si="105"/>
        <v/>
      </c>
      <c r="I1517" s="394" t="str">
        <f t="shared" si="106"/>
        <v/>
      </c>
      <c r="J1517" s="394" t="str">
        <f t="shared" si="107"/>
        <v/>
      </c>
      <c r="K1517" s="394" t="str">
        <f t="shared" si="108"/>
        <v/>
      </c>
    </row>
    <row r="1518" spans="8:11" x14ac:dyDescent="0.25">
      <c r="H1518" s="394" t="str">
        <f t="shared" si="105"/>
        <v/>
      </c>
      <c r="I1518" s="394" t="str">
        <f t="shared" si="106"/>
        <v/>
      </c>
      <c r="J1518" s="394" t="str">
        <f t="shared" si="107"/>
        <v/>
      </c>
      <c r="K1518" s="394" t="str">
        <f t="shared" si="108"/>
        <v/>
      </c>
    </row>
    <row r="1519" spans="8:11" x14ac:dyDescent="0.25">
      <c r="H1519" s="394" t="str">
        <f t="shared" si="105"/>
        <v/>
      </c>
      <c r="I1519" s="394" t="str">
        <f t="shared" si="106"/>
        <v/>
      </c>
      <c r="J1519" s="394" t="str">
        <f t="shared" si="107"/>
        <v/>
      </c>
      <c r="K1519" s="394" t="str">
        <f t="shared" si="108"/>
        <v/>
      </c>
    </row>
    <row r="1520" spans="8:11" x14ac:dyDescent="0.25">
      <c r="H1520" s="394" t="str">
        <f t="shared" si="105"/>
        <v/>
      </c>
      <c r="I1520" s="394" t="str">
        <f t="shared" si="106"/>
        <v/>
      </c>
      <c r="J1520" s="394" t="str">
        <f t="shared" si="107"/>
        <v/>
      </c>
      <c r="K1520" s="394" t="str">
        <f t="shared" si="108"/>
        <v/>
      </c>
    </row>
    <row r="1521" spans="8:11" x14ac:dyDescent="0.25">
      <c r="H1521" s="394" t="str">
        <f t="shared" si="105"/>
        <v/>
      </c>
      <c r="I1521" s="394" t="str">
        <f t="shared" si="106"/>
        <v/>
      </c>
      <c r="J1521" s="394" t="str">
        <f t="shared" si="107"/>
        <v/>
      </c>
      <c r="K1521" s="394" t="str">
        <f t="shared" si="108"/>
        <v/>
      </c>
    </row>
    <row r="1522" spans="8:11" x14ac:dyDescent="0.25">
      <c r="H1522" s="394" t="str">
        <f t="shared" si="105"/>
        <v/>
      </c>
      <c r="I1522" s="394" t="str">
        <f t="shared" si="106"/>
        <v/>
      </c>
      <c r="J1522" s="394" t="str">
        <f t="shared" si="107"/>
        <v/>
      </c>
      <c r="K1522" s="394" t="str">
        <f t="shared" si="108"/>
        <v/>
      </c>
    </row>
    <row r="1523" spans="8:11" x14ac:dyDescent="0.25">
      <c r="H1523" s="394" t="str">
        <f t="shared" si="105"/>
        <v/>
      </c>
      <c r="I1523" s="394" t="str">
        <f t="shared" si="106"/>
        <v/>
      </c>
      <c r="J1523" s="394" t="str">
        <f t="shared" si="107"/>
        <v/>
      </c>
      <c r="K1523" s="394" t="str">
        <f t="shared" si="108"/>
        <v/>
      </c>
    </row>
    <row r="1524" spans="8:11" x14ac:dyDescent="0.25">
      <c r="H1524" s="394" t="str">
        <f t="shared" si="105"/>
        <v/>
      </c>
      <c r="I1524" s="394" t="str">
        <f t="shared" si="106"/>
        <v/>
      </c>
      <c r="J1524" s="394" t="str">
        <f t="shared" si="107"/>
        <v/>
      </c>
      <c r="K1524" s="394" t="str">
        <f t="shared" si="108"/>
        <v/>
      </c>
    </row>
    <row r="1525" spans="8:11" x14ac:dyDescent="0.25">
      <c r="H1525" s="394" t="str">
        <f t="shared" si="105"/>
        <v/>
      </c>
      <c r="I1525" s="394" t="str">
        <f t="shared" si="106"/>
        <v/>
      </c>
      <c r="J1525" s="394" t="str">
        <f t="shared" si="107"/>
        <v/>
      </c>
      <c r="K1525" s="394" t="str">
        <f t="shared" si="108"/>
        <v/>
      </c>
    </row>
    <row r="1526" spans="8:11" x14ac:dyDescent="0.25">
      <c r="H1526" s="394" t="str">
        <f t="shared" si="105"/>
        <v/>
      </c>
      <c r="I1526" s="394" t="str">
        <f t="shared" si="106"/>
        <v/>
      </c>
      <c r="J1526" s="394" t="str">
        <f t="shared" si="107"/>
        <v/>
      </c>
      <c r="K1526" s="394" t="str">
        <f t="shared" si="108"/>
        <v/>
      </c>
    </row>
    <row r="1527" spans="8:11" x14ac:dyDescent="0.25">
      <c r="H1527" s="394" t="str">
        <f t="shared" si="105"/>
        <v/>
      </c>
      <c r="I1527" s="394" t="str">
        <f t="shared" si="106"/>
        <v/>
      </c>
      <c r="J1527" s="394" t="str">
        <f t="shared" si="107"/>
        <v/>
      </c>
      <c r="K1527" s="394" t="str">
        <f t="shared" si="108"/>
        <v/>
      </c>
    </row>
    <row r="1528" spans="8:11" x14ac:dyDescent="0.25">
      <c r="H1528" s="394" t="str">
        <f t="shared" si="105"/>
        <v/>
      </c>
      <c r="I1528" s="394" t="str">
        <f t="shared" si="106"/>
        <v/>
      </c>
      <c r="J1528" s="394" t="str">
        <f t="shared" si="107"/>
        <v/>
      </c>
      <c r="K1528" s="394" t="str">
        <f t="shared" si="108"/>
        <v/>
      </c>
    </row>
    <row r="1529" spans="8:11" x14ac:dyDescent="0.25">
      <c r="H1529" s="394" t="str">
        <f t="shared" si="105"/>
        <v/>
      </c>
      <c r="I1529" s="394" t="str">
        <f t="shared" si="106"/>
        <v/>
      </c>
      <c r="J1529" s="394" t="str">
        <f t="shared" si="107"/>
        <v/>
      </c>
      <c r="K1529" s="394" t="str">
        <f t="shared" si="108"/>
        <v/>
      </c>
    </row>
    <row r="1530" spans="8:11" x14ac:dyDescent="0.25">
      <c r="H1530" s="394" t="str">
        <f t="shared" si="105"/>
        <v/>
      </c>
      <c r="I1530" s="394" t="str">
        <f t="shared" si="106"/>
        <v/>
      </c>
      <c r="J1530" s="394" t="str">
        <f t="shared" si="107"/>
        <v/>
      </c>
      <c r="K1530" s="394" t="str">
        <f t="shared" si="108"/>
        <v/>
      </c>
    </row>
    <row r="1531" spans="8:11" x14ac:dyDescent="0.25">
      <c r="H1531" s="394" t="str">
        <f t="shared" si="105"/>
        <v/>
      </c>
      <c r="I1531" s="394" t="str">
        <f t="shared" si="106"/>
        <v/>
      </c>
      <c r="J1531" s="394" t="str">
        <f t="shared" si="107"/>
        <v/>
      </c>
      <c r="K1531" s="394" t="str">
        <f t="shared" si="108"/>
        <v/>
      </c>
    </row>
    <row r="1532" spans="8:11" x14ac:dyDescent="0.25">
      <c r="H1532" s="394" t="str">
        <f t="shared" si="105"/>
        <v/>
      </c>
      <c r="I1532" s="394" t="str">
        <f t="shared" si="106"/>
        <v/>
      </c>
      <c r="J1532" s="394" t="str">
        <f t="shared" si="107"/>
        <v/>
      </c>
      <c r="K1532" s="394" t="str">
        <f t="shared" si="108"/>
        <v/>
      </c>
    </row>
    <row r="1533" spans="8:11" x14ac:dyDescent="0.25">
      <c r="H1533" s="394" t="str">
        <f t="shared" si="105"/>
        <v/>
      </c>
      <c r="I1533" s="394" t="str">
        <f t="shared" si="106"/>
        <v/>
      </c>
      <c r="J1533" s="394" t="str">
        <f t="shared" si="107"/>
        <v/>
      </c>
      <c r="K1533" s="394" t="str">
        <f t="shared" si="108"/>
        <v/>
      </c>
    </row>
    <row r="1534" spans="8:11" x14ac:dyDescent="0.25">
      <c r="H1534" s="394" t="str">
        <f t="shared" si="105"/>
        <v/>
      </c>
      <c r="I1534" s="394" t="str">
        <f t="shared" si="106"/>
        <v/>
      </c>
      <c r="J1534" s="394" t="str">
        <f t="shared" si="107"/>
        <v/>
      </c>
      <c r="K1534" s="394" t="str">
        <f t="shared" si="108"/>
        <v/>
      </c>
    </row>
    <row r="1535" spans="8:11" x14ac:dyDescent="0.25">
      <c r="H1535" s="394" t="str">
        <f t="shared" si="105"/>
        <v/>
      </c>
      <c r="I1535" s="394" t="str">
        <f t="shared" si="106"/>
        <v/>
      </c>
      <c r="J1535" s="394" t="str">
        <f t="shared" si="107"/>
        <v/>
      </c>
      <c r="K1535" s="394" t="str">
        <f t="shared" si="108"/>
        <v/>
      </c>
    </row>
    <row r="1536" spans="8:11" x14ac:dyDescent="0.25">
      <c r="H1536" s="394" t="str">
        <f t="shared" si="105"/>
        <v/>
      </c>
      <c r="I1536" s="394" t="str">
        <f t="shared" si="106"/>
        <v/>
      </c>
      <c r="J1536" s="394" t="str">
        <f t="shared" si="107"/>
        <v/>
      </c>
      <c r="K1536" s="394" t="str">
        <f t="shared" si="108"/>
        <v/>
      </c>
    </row>
    <row r="1537" spans="8:11" x14ac:dyDescent="0.25">
      <c r="H1537" s="394" t="str">
        <f t="shared" si="105"/>
        <v/>
      </c>
      <c r="I1537" s="394" t="str">
        <f t="shared" si="106"/>
        <v/>
      </c>
      <c r="J1537" s="394" t="str">
        <f t="shared" si="107"/>
        <v/>
      </c>
      <c r="K1537" s="394" t="str">
        <f t="shared" si="108"/>
        <v/>
      </c>
    </row>
    <row r="1538" spans="8:11" x14ac:dyDescent="0.25">
      <c r="H1538" s="394" t="str">
        <f t="shared" si="105"/>
        <v/>
      </c>
      <c r="I1538" s="394" t="str">
        <f t="shared" si="106"/>
        <v/>
      </c>
      <c r="J1538" s="394" t="str">
        <f t="shared" si="107"/>
        <v/>
      </c>
      <c r="K1538" s="394" t="str">
        <f t="shared" si="108"/>
        <v/>
      </c>
    </row>
    <row r="1539" spans="8:11" x14ac:dyDescent="0.25">
      <c r="H1539" s="394" t="str">
        <f t="shared" si="105"/>
        <v/>
      </c>
      <c r="I1539" s="394" t="str">
        <f t="shared" si="106"/>
        <v/>
      </c>
      <c r="J1539" s="394" t="str">
        <f t="shared" si="107"/>
        <v/>
      </c>
      <c r="K1539" s="394" t="str">
        <f t="shared" si="108"/>
        <v/>
      </c>
    </row>
    <row r="1540" spans="8:11" x14ac:dyDescent="0.25">
      <c r="H1540" s="394" t="str">
        <f t="shared" si="105"/>
        <v/>
      </c>
      <c r="I1540" s="394" t="str">
        <f t="shared" si="106"/>
        <v/>
      </c>
      <c r="J1540" s="394" t="str">
        <f t="shared" si="107"/>
        <v/>
      </c>
      <c r="K1540" s="394" t="str">
        <f t="shared" si="108"/>
        <v/>
      </c>
    </row>
    <row r="1541" spans="8:11" x14ac:dyDescent="0.25">
      <c r="H1541" s="394" t="str">
        <f t="shared" si="105"/>
        <v/>
      </c>
      <c r="I1541" s="394" t="str">
        <f t="shared" si="106"/>
        <v/>
      </c>
      <c r="J1541" s="394" t="str">
        <f t="shared" si="107"/>
        <v/>
      </c>
      <c r="K1541" s="394" t="str">
        <f t="shared" si="108"/>
        <v/>
      </c>
    </row>
    <row r="1542" spans="8:11" x14ac:dyDescent="0.25">
      <c r="H1542" s="394" t="str">
        <f t="shared" si="105"/>
        <v/>
      </c>
      <c r="I1542" s="394" t="str">
        <f t="shared" si="106"/>
        <v/>
      </c>
      <c r="J1542" s="394" t="str">
        <f t="shared" si="107"/>
        <v/>
      </c>
      <c r="K1542" s="394" t="str">
        <f t="shared" si="108"/>
        <v/>
      </c>
    </row>
    <row r="1543" spans="8:11" x14ac:dyDescent="0.25">
      <c r="H1543" s="394" t="str">
        <f t="shared" si="105"/>
        <v/>
      </c>
      <c r="I1543" s="394" t="str">
        <f t="shared" si="106"/>
        <v/>
      </c>
      <c r="J1543" s="394" t="str">
        <f t="shared" si="107"/>
        <v/>
      </c>
      <c r="K1543" s="394" t="str">
        <f t="shared" si="108"/>
        <v/>
      </c>
    </row>
    <row r="1544" spans="8:11" x14ac:dyDescent="0.25">
      <c r="H1544" s="394" t="str">
        <f t="shared" si="105"/>
        <v/>
      </c>
      <c r="I1544" s="394" t="str">
        <f t="shared" si="106"/>
        <v/>
      </c>
      <c r="J1544" s="394" t="str">
        <f t="shared" si="107"/>
        <v/>
      </c>
      <c r="K1544" s="394" t="str">
        <f t="shared" si="108"/>
        <v/>
      </c>
    </row>
    <row r="1545" spans="8:11" x14ac:dyDescent="0.25">
      <c r="H1545" s="394" t="str">
        <f t="shared" si="105"/>
        <v/>
      </c>
      <c r="I1545" s="394" t="str">
        <f t="shared" si="106"/>
        <v/>
      </c>
      <c r="J1545" s="394" t="str">
        <f t="shared" si="107"/>
        <v/>
      </c>
      <c r="K1545" s="394" t="str">
        <f t="shared" si="108"/>
        <v/>
      </c>
    </row>
    <row r="1546" spans="8:11" x14ac:dyDescent="0.25">
      <c r="H1546" s="394" t="str">
        <f t="shared" si="105"/>
        <v/>
      </c>
      <c r="I1546" s="394" t="str">
        <f t="shared" si="106"/>
        <v/>
      </c>
      <c r="J1546" s="394" t="str">
        <f t="shared" si="107"/>
        <v/>
      </c>
      <c r="K1546" s="394" t="str">
        <f t="shared" si="108"/>
        <v/>
      </c>
    </row>
    <row r="1547" spans="8:11" x14ac:dyDescent="0.25">
      <c r="H1547" s="394" t="str">
        <f t="shared" si="105"/>
        <v/>
      </c>
      <c r="I1547" s="394" t="str">
        <f t="shared" si="106"/>
        <v/>
      </c>
      <c r="J1547" s="394" t="str">
        <f t="shared" si="107"/>
        <v/>
      </c>
      <c r="K1547" s="394" t="str">
        <f t="shared" si="108"/>
        <v/>
      </c>
    </row>
    <row r="1548" spans="8:11" x14ac:dyDescent="0.25">
      <c r="H1548" s="394" t="str">
        <f t="shared" si="105"/>
        <v/>
      </c>
      <c r="I1548" s="394" t="str">
        <f t="shared" si="106"/>
        <v/>
      </c>
      <c r="J1548" s="394" t="str">
        <f t="shared" si="107"/>
        <v/>
      </c>
      <c r="K1548" s="394" t="str">
        <f t="shared" si="108"/>
        <v/>
      </c>
    </row>
    <row r="1549" spans="8:11" x14ac:dyDescent="0.25">
      <c r="H1549" s="394" t="str">
        <f t="shared" si="105"/>
        <v/>
      </c>
      <c r="I1549" s="394" t="str">
        <f t="shared" si="106"/>
        <v/>
      </c>
      <c r="J1549" s="394" t="str">
        <f t="shared" si="107"/>
        <v/>
      </c>
      <c r="K1549" s="394" t="str">
        <f t="shared" si="108"/>
        <v/>
      </c>
    </row>
    <row r="1550" spans="8:11" x14ac:dyDescent="0.25">
      <c r="H1550" s="394" t="str">
        <f t="shared" si="105"/>
        <v/>
      </c>
      <c r="I1550" s="394" t="str">
        <f t="shared" si="106"/>
        <v/>
      </c>
      <c r="J1550" s="394" t="str">
        <f t="shared" si="107"/>
        <v/>
      </c>
      <c r="K1550" s="394" t="str">
        <f t="shared" si="108"/>
        <v/>
      </c>
    </row>
    <row r="1551" spans="8:11" x14ac:dyDescent="0.25">
      <c r="H1551" s="394" t="str">
        <f t="shared" si="105"/>
        <v/>
      </c>
      <c r="I1551" s="394" t="str">
        <f t="shared" si="106"/>
        <v/>
      </c>
      <c r="J1551" s="394" t="str">
        <f t="shared" si="107"/>
        <v/>
      </c>
      <c r="K1551" s="394" t="str">
        <f t="shared" si="108"/>
        <v/>
      </c>
    </row>
    <row r="1552" spans="8:11" x14ac:dyDescent="0.25">
      <c r="H1552" s="394" t="str">
        <f t="shared" si="105"/>
        <v/>
      </c>
      <c r="I1552" s="394" t="str">
        <f t="shared" si="106"/>
        <v/>
      </c>
      <c r="J1552" s="394" t="str">
        <f t="shared" si="107"/>
        <v/>
      </c>
      <c r="K1552" s="394" t="str">
        <f t="shared" si="108"/>
        <v/>
      </c>
    </row>
    <row r="1553" spans="8:11" x14ac:dyDescent="0.25">
      <c r="H1553" s="394" t="str">
        <f t="shared" si="105"/>
        <v/>
      </c>
      <c r="I1553" s="394" t="str">
        <f t="shared" si="106"/>
        <v/>
      </c>
      <c r="J1553" s="394" t="str">
        <f t="shared" si="107"/>
        <v/>
      </c>
      <c r="K1553" s="394" t="str">
        <f t="shared" si="108"/>
        <v/>
      </c>
    </row>
    <row r="1554" spans="8:11" x14ac:dyDescent="0.25">
      <c r="H1554" s="394" t="str">
        <f t="shared" si="105"/>
        <v/>
      </c>
      <c r="I1554" s="394" t="str">
        <f t="shared" si="106"/>
        <v/>
      </c>
      <c r="J1554" s="394" t="str">
        <f t="shared" si="107"/>
        <v/>
      </c>
      <c r="K1554" s="394" t="str">
        <f t="shared" si="108"/>
        <v/>
      </c>
    </row>
    <row r="1555" spans="8:11" x14ac:dyDescent="0.25">
      <c r="H1555" s="394" t="str">
        <f t="shared" si="105"/>
        <v/>
      </c>
      <c r="I1555" s="394" t="str">
        <f t="shared" si="106"/>
        <v/>
      </c>
      <c r="J1555" s="394" t="str">
        <f t="shared" si="107"/>
        <v/>
      </c>
      <c r="K1555" s="394" t="str">
        <f t="shared" si="108"/>
        <v/>
      </c>
    </row>
    <row r="1556" spans="8:11" x14ac:dyDescent="0.25">
      <c r="H1556" s="394" t="str">
        <f t="shared" si="105"/>
        <v/>
      </c>
      <c r="I1556" s="394" t="str">
        <f t="shared" si="106"/>
        <v/>
      </c>
      <c r="J1556" s="394" t="str">
        <f t="shared" si="107"/>
        <v/>
      </c>
      <c r="K1556" s="394" t="str">
        <f t="shared" si="108"/>
        <v/>
      </c>
    </row>
    <row r="1557" spans="8:11" x14ac:dyDescent="0.25">
      <c r="H1557" s="394" t="str">
        <f t="shared" si="105"/>
        <v/>
      </c>
      <c r="I1557" s="394" t="str">
        <f t="shared" si="106"/>
        <v/>
      </c>
      <c r="J1557" s="394" t="str">
        <f t="shared" si="107"/>
        <v/>
      </c>
      <c r="K1557" s="394" t="str">
        <f t="shared" si="108"/>
        <v/>
      </c>
    </row>
    <row r="1558" spans="8:11" x14ac:dyDescent="0.25">
      <c r="H1558" s="394" t="str">
        <f t="shared" si="105"/>
        <v/>
      </c>
      <c r="I1558" s="394" t="str">
        <f t="shared" si="106"/>
        <v/>
      </c>
      <c r="J1558" s="394" t="str">
        <f t="shared" si="107"/>
        <v/>
      </c>
      <c r="K1558" s="394" t="str">
        <f t="shared" si="108"/>
        <v/>
      </c>
    </row>
    <row r="1559" spans="8:11" x14ac:dyDescent="0.25">
      <c r="H1559" s="394" t="str">
        <f t="shared" si="105"/>
        <v/>
      </c>
      <c r="I1559" s="394" t="str">
        <f t="shared" si="106"/>
        <v/>
      </c>
      <c r="J1559" s="394" t="str">
        <f t="shared" si="107"/>
        <v/>
      </c>
      <c r="K1559" s="394" t="str">
        <f t="shared" si="108"/>
        <v/>
      </c>
    </row>
    <row r="1560" spans="8:11" x14ac:dyDescent="0.25">
      <c r="H1560" s="394" t="str">
        <f t="shared" si="105"/>
        <v/>
      </c>
      <c r="I1560" s="394" t="str">
        <f t="shared" si="106"/>
        <v/>
      </c>
      <c r="J1560" s="394" t="str">
        <f t="shared" si="107"/>
        <v/>
      </c>
      <c r="K1560" s="394" t="str">
        <f t="shared" si="108"/>
        <v/>
      </c>
    </row>
    <row r="1561" spans="8:11" x14ac:dyDescent="0.25">
      <c r="H1561" s="394" t="str">
        <f t="shared" si="105"/>
        <v/>
      </c>
      <c r="I1561" s="394" t="str">
        <f t="shared" si="106"/>
        <v/>
      </c>
      <c r="J1561" s="394" t="str">
        <f t="shared" si="107"/>
        <v/>
      </c>
      <c r="K1561" s="394" t="str">
        <f t="shared" si="108"/>
        <v/>
      </c>
    </row>
    <row r="1562" spans="8:11" x14ac:dyDescent="0.25">
      <c r="H1562" s="394" t="str">
        <f t="shared" si="105"/>
        <v/>
      </c>
      <c r="I1562" s="394" t="str">
        <f t="shared" si="106"/>
        <v/>
      </c>
      <c r="J1562" s="394" t="str">
        <f t="shared" si="107"/>
        <v/>
      </c>
      <c r="K1562" s="394" t="str">
        <f t="shared" si="108"/>
        <v/>
      </c>
    </row>
    <row r="1563" spans="8:11" x14ac:dyDescent="0.25">
      <c r="H1563" s="394" t="str">
        <f t="shared" si="105"/>
        <v/>
      </c>
      <c r="I1563" s="394" t="str">
        <f t="shared" si="106"/>
        <v/>
      </c>
      <c r="J1563" s="394" t="str">
        <f t="shared" si="107"/>
        <v/>
      </c>
      <c r="K1563" s="394" t="str">
        <f t="shared" si="108"/>
        <v/>
      </c>
    </row>
    <row r="1564" spans="8:11" x14ac:dyDescent="0.25">
      <c r="H1564" s="394" t="str">
        <f t="shared" si="105"/>
        <v/>
      </c>
      <c r="I1564" s="394" t="str">
        <f t="shared" si="106"/>
        <v/>
      </c>
      <c r="J1564" s="394" t="str">
        <f t="shared" si="107"/>
        <v/>
      </c>
      <c r="K1564" s="394" t="str">
        <f t="shared" si="108"/>
        <v/>
      </c>
    </row>
    <row r="1565" spans="8:11" x14ac:dyDescent="0.25">
      <c r="H1565" s="394" t="str">
        <f t="shared" si="105"/>
        <v/>
      </c>
      <c r="I1565" s="394" t="str">
        <f t="shared" si="106"/>
        <v/>
      </c>
      <c r="J1565" s="394" t="str">
        <f t="shared" si="107"/>
        <v/>
      </c>
      <c r="K1565" s="394" t="str">
        <f t="shared" si="108"/>
        <v/>
      </c>
    </row>
    <row r="1566" spans="8:11" x14ac:dyDescent="0.25">
      <c r="H1566" s="394" t="str">
        <f t="shared" si="105"/>
        <v/>
      </c>
      <c r="I1566" s="394" t="str">
        <f t="shared" si="106"/>
        <v/>
      </c>
      <c r="J1566" s="394" t="str">
        <f t="shared" si="107"/>
        <v/>
      </c>
      <c r="K1566" s="394" t="str">
        <f t="shared" si="108"/>
        <v/>
      </c>
    </row>
    <row r="1567" spans="8:11" x14ac:dyDescent="0.25">
      <c r="H1567" s="394" t="str">
        <f t="shared" si="105"/>
        <v/>
      </c>
      <c r="I1567" s="394" t="str">
        <f t="shared" si="106"/>
        <v/>
      </c>
      <c r="J1567" s="394" t="str">
        <f t="shared" si="107"/>
        <v/>
      </c>
      <c r="K1567" s="394" t="str">
        <f t="shared" si="108"/>
        <v/>
      </c>
    </row>
    <row r="1568" spans="8:11" x14ac:dyDescent="0.25">
      <c r="H1568" s="394" t="str">
        <f t="shared" si="105"/>
        <v/>
      </c>
      <c r="I1568" s="394" t="str">
        <f t="shared" si="106"/>
        <v/>
      </c>
      <c r="J1568" s="394" t="str">
        <f t="shared" si="107"/>
        <v/>
      </c>
      <c r="K1568" s="394" t="str">
        <f t="shared" si="108"/>
        <v/>
      </c>
    </row>
    <row r="1569" spans="8:11" x14ac:dyDescent="0.25">
      <c r="H1569" s="394" t="str">
        <f t="shared" si="105"/>
        <v/>
      </c>
      <c r="I1569" s="394" t="str">
        <f t="shared" si="106"/>
        <v/>
      </c>
      <c r="J1569" s="394" t="str">
        <f t="shared" si="107"/>
        <v/>
      </c>
      <c r="K1569" s="394" t="str">
        <f t="shared" si="108"/>
        <v/>
      </c>
    </row>
    <row r="1570" spans="8:11" x14ac:dyDescent="0.25">
      <c r="H1570" s="394" t="str">
        <f t="shared" si="105"/>
        <v/>
      </c>
      <c r="I1570" s="394" t="str">
        <f t="shared" si="106"/>
        <v/>
      </c>
      <c r="J1570" s="394" t="str">
        <f t="shared" si="107"/>
        <v/>
      </c>
      <c r="K1570" s="394" t="str">
        <f t="shared" si="108"/>
        <v/>
      </c>
    </row>
    <row r="1571" spans="8:11" x14ac:dyDescent="0.25">
      <c r="H1571" s="394" t="str">
        <f t="shared" si="105"/>
        <v/>
      </c>
      <c r="I1571" s="394" t="str">
        <f t="shared" si="106"/>
        <v/>
      </c>
      <c r="J1571" s="394" t="str">
        <f t="shared" si="107"/>
        <v/>
      </c>
      <c r="K1571" s="394" t="str">
        <f t="shared" si="108"/>
        <v/>
      </c>
    </row>
    <row r="1572" spans="8:11" x14ac:dyDescent="0.25">
      <c r="H1572" s="394" t="str">
        <f t="shared" si="105"/>
        <v/>
      </c>
      <c r="I1572" s="394" t="str">
        <f t="shared" si="106"/>
        <v/>
      </c>
      <c r="J1572" s="394" t="str">
        <f t="shared" si="107"/>
        <v/>
      </c>
      <c r="K1572" s="394" t="str">
        <f t="shared" si="108"/>
        <v/>
      </c>
    </row>
    <row r="1573" spans="8:11" x14ac:dyDescent="0.25">
      <c r="H1573" s="394" t="str">
        <f t="shared" si="105"/>
        <v/>
      </c>
      <c r="I1573" s="394" t="str">
        <f t="shared" si="106"/>
        <v/>
      </c>
      <c r="J1573" s="394" t="str">
        <f t="shared" si="107"/>
        <v/>
      </c>
      <c r="K1573" s="394" t="str">
        <f t="shared" si="108"/>
        <v/>
      </c>
    </row>
    <row r="1574" spans="8:11" x14ac:dyDescent="0.25">
      <c r="H1574" s="394" t="str">
        <f t="shared" si="105"/>
        <v/>
      </c>
      <c r="I1574" s="394" t="str">
        <f t="shared" si="106"/>
        <v/>
      </c>
      <c r="J1574" s="394" t="str">
        <f t="shared" si="107"/>
        <v/>
      </c>
      <c r="K1574" s="394" t="str">
        <f t="shared" si="108"/>
        <v/>
      </c>
    </row>
    <row r="1575" spans="8:11" x14ac:dyDescent="0.25">
      <c r="H1575" s="394" t="str">
        <f t="shared" si="105"/>
        <v/>
      </c>
      <c r="I1575" s="394" t="str">
        <f t="shared" si="106"/>
        <v/>
      </c>
      <c r="J1575" s="394" t="str">
        <f t="shared" si="107"/>
        <v/>
      </c>
      <c r="K1575" s="394" t="str">
        <f t="shared" si="108"/>
        <v/>
      </c>
    </row>
    <row r="1576" spans="8:11" x14ac:dyDescent="0.25">
      <c r="H1576" s="394" t="str">
        <f t="shared" si="105"/>
        <v/>
      </c>
      <c r="I1576" s="394" t="str">
        <f t="shared" si="106"/>
        <v/>
      </c>
      <c r="J1576" s="394" t="str">
        <f t="shared" si="107"/>
        <v/>
      </c>
      <c r="K1576" s="394" t="str">
        <f t="shared" si="108"/>
        <v/>
      </c>
    </row>
    <row r="1577" spans="8:11" x14ac:dyDescent="0.25">
      <c r="H1577" s="394" t="str">
        <f t="shared" ref="H1577:H1640" si="109">IF($C599="","",ROUND(($B$2*$F599*($B$5/1000))/$B$6,2))</f>
        <v/>
      </c>
      <c r="I1577" s="394" t="str">
        <f t="shared" ref="I1577:I1640" si="110">IF($C599="","",ROUND(($B$3*$F599*($B$5/1000))/$B$6,2))</f>
        <v/>
      </c>
      <c r="J1577" s="394" t="str">
        <f t="shared" ref="J1577:J1640" si="111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2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09"/>
        <v/>
      </c>
      <c r="I1578" s="394" t="str">
        <f t="shared" si="110"/>
        <v/>
      </c>
      <c r="J1578" s="394" t="str">
        <f t="shared" si="111"/>
        <v/>
      </c>
      <c r="K1578" s="394" t="str">
        <f t="shared" si="112"/>
        <v/>
      </c>
    </row>
    <row r="1579" spans="8:11" x14ac:dyDescent="0.25">
      <c r="H1579" s="394" t="str">
        <f t="shared" si="109"/>
        <v/>
      </c>
      <c r="I1579" s="394" t="str">
        <f t="shared" si="110"/>
        <v/>
      </c>
      <c r="J1579" s="394" t="str">
        <f t="shared" si="111"/>
        <v/>
      </c>
      <c r="K1579" s="394" t="str">
        <f t="shared" si="112"/>
        <v/>
      </c>
    </row>
    <row r="1580" spans="8:11" x14ac:dyDescent="0.25">
      <c r="H1580" s="394" t="str">
        <f t="shared" si="109"/>
        <v/>
      </c>
      <c r="I1580" s="394" t="str">
        <f t="shared" si="110"/>
        <v/>
      </c>
      <c r="J1580" s="394" t="str">
        <f t="shared" si="111"/>
        <v/>
      </c>
      <c r="K1580" s="394" t="str">
        <f t="shared" si="112"/>
        <v/>
      </c>
    </row>
    <row r="1581" spans="8:11" x14ac:dyDescent="0.25">
      <c r="H1581" s="394" t="str">
        <f t="shared" si="109"/>
        <v/>
      </c>
      <c r="I1581" s="394" t="str">
        <f t="shared" si="110"/>
        <v/>
      </c>
      <c r="J1581" s="394" t="str">
        <f t="shared" si="111"/>
        <v/>
      </c>
      <c r="K1581" s="394" t="str">
        <f t="shared" si="112"/>
        <v/>
      </c>
    </row>
    <row r="1582" spans="8:11" x14ac:dyDescent="0.25">
      <c r="H1582" s="394" t="str">
        <f t="shared" si="109"/>
        <v/>
      </c>
      <c r="I1582" s="394" t="str">
        <f t="shared" si="110"/>
        <v/>
      </c>
      <c r="J1582" s="394" t="str">
        <f t="shared" si="111"/>
        <v/>
      </c>
      <c r="K1582" s="394" t="str">
        <f t="shared" si="112"/>
        <v/>
      </c>
    </row>
    <row r="1583" spans="8:11" x14ac:dyDescent="0.25">
      <c r="H1583" s="394" t="str">
        <f t="shared" si="109"/>
        <v/>
      </c>
      <c r="I1583" s="394" t="str">
        <f t="shared" si="110"/>
        <v/>
      </c>
      <c r="J1583" s="394" t="str">
        <f t="shared" si="111"/>
        <v/>
      </c>
      <c r="K1583" s="394" t="str">
        <f t="shared" si="112"/>
        <v/>
      </c>
    </row>
    <row r="1584" spans="8:11" x14ac:dyDescent="0.25">
      <c r="H1584" s="394" t="str">
        <f t="shared" si="109"/>
        <v/>
      </c>
      <c r="I1584" s="394" t="str">
        <f t="shared" si="110"/>
        <v/>
      </c>
      <c r="J1584" s="394" t="str">
        <f t="shared" si="111"/>
        <v/>
      </c>
      <c r="K1584" s="394" t="str">
        <f t="shared" si="112"/>
        <v/>
      </c>
    </row>
    <row r="1585" spans="8:11" x14ac:dyDescent="0.25">
      <c r="H1585" s="394" t="str">
        <f t="shared" si="109"/>
        <v/>
      </c>
      <c r="I1585" s="394" t="str">
        <f t="shared" si="110"/>
        <v/>
      </c>
      <c r="J1585" s="394" t="str">
        <f t="shared" si="111"/>
        <v/>
      </c>
      <c r="K1585" s="394" t="str">
        <f t="shared" si="112"/>
        <v/>
      </c>
    </row>
    <row r="1586" spans="8:11" x14ac:dyDescent="0.25">
      <c r="H1586" s="394" t="str">
        <f t="shared" si="109"/>
        <v/>
      </c>
      <c r="I1586" s="394" t="str">
        <f t="shared" si="110"/>
        <v/>
      </c>
      <c r="J1586" s="394" t="str">
        <f t="shared" si="111"/>
        <v/>
      </c>
      <c r="K1586" s="394" t="str">
        <f t="shared" si="112"/>
        <v/>
      </c>
    </row>
    <row r="1587" spans="8:11" x14ac:dyDescent="0.25">
      <c r="H1587" s="394" t="str">
        <f t="shared" si="109"/>
        <v/>
      </c>
      <c r="I1587" s="394" t="str">
        <f t="shared" si="110"/>
        <v/>
      </c>
      <c r="J1587" s="394" t="str">
        <f t="shared" si="111"/>
        <v/>
      </c>
      <c r="K1587" s="394" t="str">
        <f t="shared" si="112"/>
        <v/>
      </c>
    </row>
    <row r="1588" spans="8:11" x14ac:dyDescent="0.25">
      <c r="H1588" s="394" t="str">
        <f t="shared" si="109"/>
        <v/>
      </c>
      <c r="I1588" s="394" t="str">
        <f t="shared" si="110"/>
        <v/>
      </c>
      <c r="J1588" s="394" t="str">
        <f t="shared" si="111"/>
        <v/>
      </c>
      <c r="K1588" s="394" t="str">
        <f t="shared" si="112"/>
        <v/>
      </c>
    </row>
    <row r="1589" spans="8:11" x14ac:dyDescent="0.25">
      <c r="H1589" s="394" t="str">
        <f t="shared" si="109"/>
        <v/>
      </c>
      <c r="I1589" s="394" t="str">
        <f t="shared" si="110"/>
        <v/>
      </c>
      <c r="J1589" s="394" t="str">
        <f t="shared" si="111"/>
        <v/>
      </c>
      <c r="K1589" s="394" t="str">
        <f t="shared" si="112"/>
        <v/>
      </c>
    </row>
    <row r="1590" spans="8:11" x14ac:dyDescent="0.25">
      <c r="H1590" s="394" t="str">
        <f t="shared" si="109"/>
        <v/>
      </c>
      <c r="I1590" s="394" t="str">
        <f t="shared" si="110"/>
        <v/>
      </c>
      <c r="J1590" s="394" t="str">
        <f t="shared" si="111"/>
        <v/>
      </c>
      <c r="K1590" s="394" t="str">
        <f t="shared" si="112"/>
        <v/>
      </c>
    </row>
    <row r="1591" spans="8:11" x14ac:dyDescent="0.25">
      <c r="H1591" s="394" t="str">
        <f t="shared" si="109"/>
        <v/>
      </c>
      <c r="I1591" s="394" t="str">
        <f t="shared" si="110"/>
        <v/>
      </c>
      <c r="J1591" s="394" t="str">
        <f t="shared" si="111"/>
        <v/>
      </c>
      <c r="K1591" s="394" t="str">
        <f t="shared" si="112"/>
        <v/>
      </c>
    </row>
    <row r="1592" spans="8:11" x14ac:dyDescent="0.25">
      <c r="H1592" s="394" t="str">
        <f t="shared" si="109"/>
        <v/>
      </c>
      <c r="I1592" s="394" t="str">
        <f t="shared" si="110"/>
        <v/>
      </c>
      <c r="J1592" s="394" t="str">
        <f t="shared" si="111"/>
        <v/>
      </c>
      <c r="K1592" s="394" t="str">
        <f t="shared" si="112"/>
        <v/>
      </c>
    </row>
    <row r="1593" spans="8:11" x14ac:dyDescent="0.25">
      <c r="H1593" s="394" t="str">
        <f t="shared" si="109"/>
        <v/>
      </c>
      <c r="I1593" s="394" t="str">
        <f t="shared" si="110"/>
        <v/>
      </c>
      <c r="J1593" s="394" t="str">
        <f t="shared" si="111"/>
        <v/>
      </c>
      <c r="K1593" s="394" t="str">
        <f t="shared" si="112"/>
        <v/>
      </c>
    </row>
    <row r="1594" spans="8:11" x14ac:dyDescent="0.25">
      <c r="H1594" s="394" t="str">
        <f t="shared" si="109"/>
        <v/>
      </c>
      <c r="I1594" s="394" t="str">
        <f t="shared" si="110"/>
        <v/>
      </c>
      <c r="J1594" s="394" t="str">
        <f t="shared" si="111"/>
        <v/>
      </c>
      <c r="K1594" s="394" t="str">
        <f t="shared" si="112"/>
        <v/>
      </c>
    </row>
    <row r="1595" spans="8:11" x14ac:dyDescent="0.25">
      <c r="H1595" s="394" t="str">
        <f t="shared" si="109"/>
        <v/>
      </c>
      <c r="I1595" s="394" t="str">
        <f t="shared" si="110"/>
        <v/>
      </c>
      <c r="J1595" s="394" t="str">
        <f t="shared" si="111"/>
        <v/>
      </c>
      <c r="K1595" s="394" t="str">
        <f t="shared" si="112"/>
        <v/>
      </c>
    </row>
    <row r="1596" spans="8:11" x14ac:dyDescent="0.25">
      <c r="H1596" s="394" t="str">
        <f t="shared" si="109"/>
        <v/>
      </c>
      <c r="I1596" s="394" t="str">
        <f t="shared" si="110"/>
        <v/>
      </c>
      <c r="J1596" s="394" t="str">
        <f t="shared" si="111"/>
        <v/>
      </c>
      <c r="K1596" s="394" t="str">
        <f t="shared" si="112"/>
        <v/>
      </c>
    </row>
    <row r="1597" spans="8:11" x14ac:dyDescent="0.25">
      <c r="H1597" s="394" t="str">
        <f t="shared" si="109"/>
        <v/>
      </c>
      <c r="I1597" s="394" t="str">
        <f t="shared" si="110"/>
        <v/>
      </c>
      <c r="J1597" s="394" t="str">
        <f t="shared" si="111"/>
        <v/>
      </c>
      <c r="K1597" s="394" t="str">
        <f t="shared" si="112"/>
        <v/>
      </c>
    </row>
    <row r="1598" spans="8:11" x14ac:dyDescent="0.25">
      <c r="H1598" s="394" t="str">
        <f t="shared" si="109"/>
        <v/>
      </c>
      <c r="I1598" s="394" t="str">
        <f t="shared" si="110"/>
        <v/>
      </c>
      <c r="J1598" s="394" t="str">
        <f t="shared" si="111"/>
        <v/>
      </c>
      <c r="K1598" s="394" t="str">
        <f t="shared" si="112"/>
        <v/>
      </c>
    </row>
    <row r="1599" spans="8:11" x14ac:dyDescent="0.25">
      <c r="H1599" s="394" t="str">
        <f t="shared" si="109"/>
        <v/>
      </c>
      <c r="I1599" s="394" t="str">
        <f t="shared" si="110"/>
        <v/>
      </c>
      <c r="J1599" s="394" t="str">
        <f t="shared" si="111"/>
        <v/>
      </c>
      <c r="K1599" s="394" t="str">
        <f t="shared" si="112"/>
        <v/>
      </c>
    </row>
    <row r="1600" spans="8:11" x14ac:dyDescent="0.25">
      <c r="H1600" s="394" t="str">
        <f t="shared" si="109"/>
        <v/>
      </c>
      <c r="I1600" s="394" t="str">
        <f t="shared" si="110"/>
        <v/>
      </c>
      <c r="J1600" s="394" t="str">
        <f t="shared" si="111"/>
        <v/>
      </c>
      <c r="K1600" s="394" t="str">
        <f t="shared" si="112"/>
        <v/>
      </c>
    </row>
    <row r="1601" spans="8:11" x14ac:dyDescent="0.25">
      <c r="H1601" s="394" t="str">
        <f t="shared" si="109"/>
        <v/>
      </c>
      <c r="I1601" s="394" t="str">
        <f t="shared" si="110"/>
        <v/>
      </c>
      <c r="J1601" s="394" t="str">
        <f t="shared" si="111"/>
        <v/>
      </c>
      <c r="K1601" s="394" t="str">
        <f t="shared" si="112"/>
        <v/>
      </c>
    </row>
    <row r="1602" spans="8:11" x14ac:dyDescent="0.25">
      <c r="H1602" s="394" t="str">
        <f t="shared" si="109"/>
        <v/>
      </c>
      <c r="I1602" s="394" t="str">
        <f t="shared" si="110"/>
        <v/>
      </c>
      <c r="J1602" s="394" t="str">
        <f t="shared" si="111"/>
        <v/>
      </c>
      <c r="K1602" s="394" t="str">
        <f t="shared" si="112"/>
        <v/>
      </c>
    </row>
    <row r="1603" spans="8:11" x14ac:dyDescent="0.25">
      <c r="H1603" s="394" t="str">
        <f t="shared" si="109"/>
        <v/>
      </c>
      <c r="I1603" s="394" t="str">
        <f t="shared" si="110"/>
        <v/>
      </c>
      <c r="J1603" s="394" t="str">
        <f t="shared" si="111"/>
        <v/>
      </c>
      <c r="K1603" s="394" t="str">
        <f t="shared" si="112"/>
        <v/>
      </c>
    </row>
    <row r="1604" spans="8:11" x14ac:dyDescent="0.25">
      <c r="H1604" s="394" t="str">
        <f t="shared" si="109"/>
        <v/>
      </c>
      <c r="I1604" s="394" t="str">
        <f t="shared" si="110"/>
        <v/>
      </c>
      <c r="J1604" s="394" t="str">
        <f t="shared" si="111"/>
        <v/>
      </c>
      <c r="K1604" s="394" t="str">
        <f t="shared" si="112"/>
        <v/>
      </c>
    </row>
    <row r="1605" spans="8:11" x14ac:dyDescent="0.25">
      <c r="H1605" s="394" t="str">
        <f t="shared" si="109"/>
        <v/>
      </c>
      <c r="I1605" s="394" t="str">
        <f t="shared" si="110"/>
        <v/>
      </c>
      <c r="J1605" s="394" t="str">
        <f t="shared" si="111"/>
        <v/>
      </c>
      <c r="K1605" s="394" t="str">
        <f t="shared" si="112"/>
        <v/>
      </c>
    </row>
    <row r="1606" spans="8:11" x14ac:dyDescent="0.25">
      <c r="H1606" s="394" t="str">
        <f t="shared" si="109"/>
        <v/>
      </c>
      <c r="I1606" s="394" t="str">
        <f t="shared" si="110"/>
        <v/>
      </c>
      <c r="J1606" s="394" t="str">
        <f t="shared" si="111"/>
        <v/>
      </c>
      <c r="K1606" s="394" t="str">
        <f t="shared" si="112"/>
        <v/>
      </c>
    </row>
    <row r="1607" spans="8:11" x14ac:dyDescent="0.25">
      <c r="H1607" s="394" t="str">
        <f t="shared" si="109"/>
        <v/>
      </c>
      <c r="I1607" s="394" t="str">
        <f t="shared" si="110"/>
        <v/>
      </c>
      <c r="J1607" s="394" t="str">
        <f t="shared" si="111"/>
        <v/>
      </c>
      <c r="K1607" s="394" t="str">
        <f t="shared" si="112"/>
        <v/>
      </c>
    </row>
    <row r="1608" spans="8:11" x14ac:dyDescent="0.25">
      <c r="H1608" s="394" t="str">
        <f t="shared" si="109"/>
        <v/>
      </c>
      <c r="I1608" s="394" t="str">
        <f t="shared" si="110"/>
        <v/>
      </c>
      <c r="J1608" s="394" t="str">
        <f t="shared" si="111"/>
        <v/>
      </c>
      <c r="K1608" s="394" t="str">
        <f t="shared" si="112"/>
        <v/>
      </c>
    </row>
    <row r="1609" spans="8:11" x14ac:dyDescent="0.25">
      <c r="H1609" s="394" t="str">
        <f t="shared" si="109"/>
        <v/>
      </c>
      <c r="I1609" s="394" t="str">
        <f t="shared" si="110"/>
        <v/>
      </c>
      <c r="J1609" s="394" t="str">
        <f t="shared" si="111"/>
        <v/>
      </c>
      <c r="K1609" s="394" t="str">
        <f t="shared" si="112"/>
        <v/>
      </c>
    </row>
    <row r="1610" spans="8:11" x14ac:dyDescent="0.25">
      <c r="H1610" s="394" t="str">
        <f t="shared" si="109"/>
        <v/>
      </c>
      <c r="I1610" s="394" t="str">
        <f t="shared" si="110"/>
        <v/>
      </c>
      <c r="J1610" s="394" t="str">
        <f t="shared" si="111"/>
        <v/>
      </c>
      <c r="K1610" s="394" t="str">
        <f t="shared" si="112"/>
        <v/>
      </c>
    </row>
    <row r="1611" spans="8:11" x14ac:dyDescent="0.25">
      <c r="H1611" s="394" t="str">
        <f t="shared" si="109"/>
        <v/>
      </c>
      <c r="I1611" s="394" t="str">
        <f t="shared" si="110"/>
        <v/>
      </c>
      <c r="J1611" s="394" t="str">
        <f t="shared" si="111"/>
        <v/>
      </c>
      <c r="K1611" s="394" t="str">
        <f t="shared" si="112"/>
        <v/>
      </c>
    </row>
    <row r="1612" spans="8:11" x14ac:dyDescent="0.25">
      <c r="H1612" s="394" t="str">
        <f t="shared" si="109"/>
        <v/>
      </c>
      <c r="I1612" s="394" t="str">
        <f t="shared" si="110"/>
        <v/>
      </c>
      <c r="J1612" s="394" t="str">
        <f t="shared" si="111"/>
        <v/>
      </c>
      <c r="K1612" s="394" t="str">
        <f t="shared" si="112"/>
        <v/>
      </c>
    </row>
    <row r="1613" spans="8:11" x14ac:dyDescent="0.25">
      <c r="H1613" s="394" t="str">
        <f t="shared" si="109"/>
        <v/>
      </c>
      <c r="I1613" s="394" t="str">
        <f t="shared" si="110"/>
        <v/>
      </c>
      <c r="J1613" s="394" t="str">
        <f t="shared" si="111"/>
        <v/>
      </c>
      <c r="K1613" s="394" t="str">
        <f t="shared" si="112"/>
        <v/>
      </c>
    </row>
    <row r="1614" spans="8:11" x14ac:dyDescent="0.25">
      <c r="H1614" s="394" t="str">
        <f t="shared" si="109"/>
        <v/>
      </c>
      <c r="I1614" s="394" t="str">
        <f t="shared" si="110"/>
        <v/>
      </c>
      <c r="J1614" s="394" t="str">
        <f t="shared" si="111"/>
        <v/>
      </c>
      <c r="K1614" s="394" t="str">
        <f t="shared" si="112"/>
        <v/>
      </c>
    </row>
    <row r="1615" spans="8:11" x14ac:dyDescent="0.25">
      <c r="H1615" s="394" t="str">
        <f t="shared" si="109"/>
        <v/>
      </c>
      <c r="I1615" s="394" t="str">
        <f t="shared" si="110"/>
        <v/>
      </c>
      <c r="J1615" s="394" t="str">
        <f t="shared" si="111"/>
        <v/>
      </c>
      <c r="K1615" s="394" t="str">
        <f t="shared" si="112"/>
        <v/>
      </c>
    </row>
    <row r="1616" spans="8:11" x14ac:dyDescent="0.25">
      <c r="H1616" s="394" t="str">
        <f t="shared" si="109"/>
        <v/>
      </c>
      <c r="I1616" s="394" t="str">
        <f t="shared" si="110"/>
        <v/>
      </c>
      <c r="J1616" s="394" t="str">
        <f t="shared" si="111"/>
        <v/>
      </c>
      <c r="K1616" s="394" t="str">
        <f t="shared" si="112"/>
        <v/>
      </c>
    </row>
    <row r="1617" spans="8:11" x14ac:dyDescent="0.25">
      <c r="H1617" s="394" t="str">
        <f t="shared" si="109"/>
        <v/>
      </c>
      <c r="I1617" s="394" t="str">
        <f t="shared" si="110"/>
        <v/>
      </c>
      <c r="J1617" s="394" t="str">
        <f t="shared" si="111"/>
        <v/>
      </c>
      <c r="K1617" s="394" t="str">
        <f t="shared" si="112"/>
        <v/>
      </c>
    </row>
    <row r="1618" spans="8:11" x14ac:dyDescent="0.25">
      <c r="H1618" s="394" t="str">
        <f t="shared" si="109"/>
        <v/>
      </c>
      <c r="I1618" s="394" t="str">
        <f t="shared" si="110"/>
        <v/>
      </c>
      <c r="J1618" s="394" t="str">
        <f t="shared" si="111"/>
        <v/>
      </c>
      <c r="K1618" s="394" t="str">
        <f t="shared" si="112"/>
        <v/>
      </c>
    </row>
    <row r="1619" spans="8:11" x14ac:dyDescent="0.25">
      <c r="H1619" s="394" t="str">
        <f t="shared" si="109"/>
        <v/>
      </c>
      <c r="I1619" s="394" t="str">
        <f t="shared" si="110"/>
        <v/>
      </c>
      <c r="J1619" s="394" t="str">
        <f t="shared" si="111"/>
        <v/>
      </c>
      <c r="K1619" s="394" t="str">
        <f t="shared" si="112"/>
        <v/>
      </c>
    </row>
    <row r="1620" spans="8:11" x14ac:dyDescent="0.25">
      <c r="H1620" s="394" t="str">
        <f t="shared" si="109"/>
        <v/>
      </c>
      <c r="I1620" s="394" t="str">
        <f t="shared" si="110"/>
        <v/>
      </c>
      <c r="J1620" s="394" t="str">
        <f t="shared" si="111"/>
        <v/>
      </c>
      <c r="K1620" s="394" t="str">
        <f t="shared" si="112"/>
        <v/>
      </c>
    </row>
    <row r="1621" spans="8:11" x14ac:dyDescent="0.25">
      <c r="H1621" s="394" t="str">
        <f t="shared" si="109"/>
        <v/>
      </c>
      <c r="I1621" s="394" t="str">
        <f t="shared" si="110"/>
        <v/>
      </c>
      <c r="J1621" s="394" t="str">
        <f t="shared" si="111"/>
        <v/>
      </c>
      <c r="K1621" s="394" t="str">
        <f t="shared" si="112"/>
        <v/>
      </c>
    </row>
    <row r="1622" spans="8:11" x14ac:dyDescent="0.25">
      <c r="H1622" s="394" t="str">
        <f t="shared" si="109"/>
        <v/>
      </c>
      <c r="I1622" s="394" t="str">
        <f t="shared" si="110"/>
        <v/>
      </c>
      <c r="J1622" s="394" t="str">
        <f t="shared" si="111"/>
        <v/>
      </c>
      <c r="K1622" s="394" t="str">
        <f t="shared" si="112"/>
        <v/>
      </c>
    </row>
    <row r="1623" spans="8:11" x14ac:dyDescent="0.25">
      <c r="H1623" s="394" t="str">
        <f t="shared" si="109"/>
        <v/>
      </c>
      <c r="I1623" s="394" t="str">
        <f t="shared" si="110"/>
        <v/>
      </c>
      <c r="J1623" s="394" t="str">
        <f t="shared" si="111"/>
        <v/>
      </c>
      <c r="K1623" s="394" t="str">
        <f t="shared" si="112"/>
        <v/>
      </c>
    </row>
    <row r="1624" spans="8:11" x14ac:dyDescent="0.25">
      <c r="H1624" s="394" t="str">
        <f t="shared" si="109"/>
        <v/>
      </c>
      <c r="I1624" s="394" t="str">
        <f t="shared" si="110"/>
        <v/>
      </c>
      <c r="J1624" s="394" t="str">
        <f t="shared" si="111"/>
        <v/>
      </c>
      <c r="K1624" s="394" t="str">
        <f t="shared" si="112"/>
        <v/>
      </c>
    </row>
    <row r="1625" spans="8:11" x14ac:dyDescent="0.25">
      <c r="H1625" s="394" t="str">
        <f t="shared" si="109"/>
        <v/>
      </c>
      <c r="I1625" s="394" t="str">
        <f t="shared" si="110"/>
        <v/>
      </c>
      <c r="J1625" s="394" t="str">
        <f t="shared" si="111"/>
        <v/>
      </c>
      <c r="K1625" s="394" t="str">
        <f t="shared" si="112"/>
        <v/>
      </c>
    </row>
    <row r="1626" spans="8:11" x14ac:dyDescent="0.25">
      <c r="H1626" s="394" t="str">
        <f t="shared" si="109"/>
        <v/>
      </c>
      <c r="I1626" s="394" t="str">
        <f t="shared" si="110"/>
        <v/>
      </c>
      <c r="J1626" s="394" t="str">
        <f t="shared" si="111"/>
        <v/>
      </c>
      <c r="K1626" s="394" t="str">
        <f t="shared" si="112"/>
        <v/>
      </c>
    </row>
    <row r="1627" spans="8:11" x14ac:dyDescent="0.25">
      <c r="H1627" s="394" t="str">
        <f t="shared" si="109"/>
        <v/>
      </c>
      <c r="I1627" s="394" t="str">
        <f t="shared" si="110"/>
        <v/>
      </c>
      <c r="J1627" s="394" t="str">
        <f t="shared" si="111"/>
        <v/>
      </c>
      <c r="K1627" s="394" t="str">
        <f t="shared" si="112"/>
        <v/>
      </c>
    </row>
    <row r="1628" spans="8:11" x14ac:dyDescent="0.25">
      <c r="H1628" s="394" t="str">
        <f t="shared" si="109"/>
        <v/>
      </c>
      <c r="I1628" s="394" t="str">
        <f t="shared" si="110"/>
        <v/>
      </c>
      <c r="J1628" s="394" t="str">
        <f t="shared" si="111"/>
        <v/>
      </c>
      <c r="K1628" s="394" t="str">
        <f t="shared" si="112"/>
        <v/>
      </c>
    </row>
    <row r="1629" spans="8:11" x14ac:dyDescent="0.25">
      <c r="H1629" s="394" t="str">
        <f t="shared" si="109"/>
        <v/>
      </c>
      <c r="I1629" s="394" t="str">
        <f t="shared" si="110"/>
        <v/>
      </c>
      <c r="J1629" s="394" t="str">
        <f t="shared" si="111"/>
        <v/>
      </c>
      <c r="K1629" s="394" t="str">
        <f t="shared" si="112"/>
        <v/>
      </c>
    </row>
    <row r="1630" spans="8:11" x14ac:dyDescent="0.25">
      <c r="H1630" s="394" t="str">
        <f t="shared" si="109"/>
        <v/>
      </c>
      <c r="I1630" s="394" t="str">
        <f t="shared" si="110"/>
        <v/>
      </c>
      <c r="J1630" s="394" t="str">
        <f t="shared" si="111"/>
        <v/>
      </c>
      <c r="K1630" s="394" t="str">
        <f t="shared" si="112"/>
        <v/>
      </c>
    </row>
    <row r="1631" spans="8:11" x14ac:dyDescent="0.25">
      <c r="H1631" s="394" t="str">
        <f t="shared" si="109"/>
        <v/>
      </c>
      <c r="I1631" s="394" t="str">
        <f t="shared" si="110"/>
        <v/>
      </c>
      <c r="J1631" s="394" t="str">
        <f t="shared" si="111"/>
        <v/>
      </c>
      <c r="K1631" s="394" t="str">
        <f t="shared" si="112"/>
        <v/>
      </c>
    </row>
    <row r="1632" spans="8:11" x14ac:dyDescent="0.25">
      <c r="H1632" s="394" t="str">
        <f t="shared" si="109"/>
        <v/>
      </c>
      <c r="I1632" s="394" t="str">
        <f t="shared" si="110"/>
        <v/>
      </c>
      <c r="J1632" s="394" t="str">
        <f t="shared" si="111"/>
        <v/>
      </c>
      <c r="K1632" s="394" t="str">
        <f t="shared" si="112"/>
        <v/>
      </c>
    </row>
    <row r="1633" spans="8:11" x14ac:dyDescent="0.25">
      <c r="H1633" s="394" t="str">
        <f t="shared" si="109"/>
        <v/>
      </c>
      <c r="I1633" s="394" t="str">
        <f t="shared" si="110"/>
        <v/>
      </c>
      <c r="J1633" s="394" t="str">
        <f t="shared" si="111"/>
        <v/>
      </c>
      <c r="K1633" s="394" t="str">
        <f t="shared" si="112"/>
        <v/>
      </c>
    </row>
    <row r="1634" spans="8:11" x14ac:dyDescent="0.25">
      <c r="H1634" s="394" t="str">
        <f t="shared" si="109"/>
        <v/>
      </c>
      <c r="I1634" s="394" t="str">
        <f t="shared" si="110"/>
        <v/>
      </c>
      <c r="J1634" s="394" t="str">
        <f t="shared" si="111"/>
        <v/>
      </c>
      <c r="K1634" s="394" t="str">
        <f t="shared" si="112"/>
        <v/>
      </c>
    </row>
    <row r="1635" spans="8:11" x14ac:dyDescent="0.25">
      <c r="H1635" s="394" t="str">
        <f t="shared" si="109"/>
        <v/>
      </c>
      <c r="I1635" s="394" t="str">
        <f t="shared" si="110"/>
        <v/>
      </c>
      <c r="J1635" s="394" t="str">
        <f t="shared" si="111"/>
        <v/>
      </c>
      <c r="K1635" s="394" t="str">
        <f t="shared" si="112"/>
        <v/>
      </c>
    </row>
    <row r="1636" spans="8:11" x14ac:dyDescent="0.25">
      <c r="H1636" s="394" t="str">
        <f t="shared" si="109"/>
        <v/>
      </c>
      <c r="I1636" s="394" t="str">
        <f t="shared" si="110"/>
        <v/>
      </c>
      <c r="J1636" s="394" t="str">
        <f t="shared" si="111"/>
        <v/>
      </c>
      <c r="K1636" s="394" t="str">
        <f t="shared" si="112"/>
        <v/>
      </c>
    </row>
    <row r="1637" spans="8:11" x14ac:dyDescent="0.25">
      <c r="H1637" s="394" t="str">
        <f t="shared" si="109"/>
        <v/>
      </c>
      <c r="I1637" s="394" t="str">
        <f t="shared" si="110"/>
        <v/>
      </c>
      <c r="J1637" s="394" t="str">
        <f t="shared" si="111"/>
        <v/>
      </c>
      <c r="K1637" s="394" t="str">
        <f t="shared" si="112"/>
        <v/>
      </c>
    </row>
    <row r="1638" spans="8:11" x14ac:dyDescent="0.25">
      <c r="H1638" s="394" t="str">
        <f t="shared" si="109"/>
        <v/>
      </c>
      <c r="I1638" s="394" t="str">
        <f t="shared" si="110"/>
        <v/>
      </c>
      <c r="J1638" s="394" t="str">
        <f t="shared" si="111"/>
        <v/>
      </c>
      <c r="K1638" s="394" t="str">
        <f t="shared" si="112"/>
        <v/>
      </c>
    </row>
    <row r="1639" spans="8:11" x14ac:dyDescent="0.25">
      <c r="H1639" s="394" t="str">
        <f t="shared" si="109"/>
        <v/>
      </c>
      <c r="I1639" s="394" t="str">
        <f t="shared" si="110"/>
        <v/>
      </c>
      <c r="J1639" s="394" t="str">
        <f t="shared" si="111"/>
        <v/>
      </c>
      <c r="K1639" s="394" t="str">
        <f t="shared" si="112"/>
        <v/>
      </c>
    </row>
    <row r="1640" spans="8:11" x14ac:dyDescent="0.25">
      <c r="H1640" s="394" t="str">
        <f t="shared" si="109"/>
        <v/>
      </c>
      <c r="I1640" s="394" t="str">
        <f t="shared" si="110"/>
        <v/>
      </c>
      <c r="J1640" s="394" t="str">
        <f t="shared" si="111"/>
        <v/>
      </c>
      <c r="K1640" s="394" t="str">
        <f t="shared" si="112"/>
        <v/>
      </c>
    </row>
    <row r="1641" spans="8:11" x14ac:dyDescent="0.25">
      <c r="H1641" s="394" t="str">
        <f t="shared" ref="H1641:H1704" si="113">IF($C663="","",ROUND(($B$2*$F663*($B$5/1000))/$B$6,2))</f>
        <v/>
      </c>
      <c r="I1641" s="394" t="str">
        <f t="shared" ref="I1641:I1704" si="114">IF($C663="","",ROUND(($B$3*$F663*($B$5/1000))/$B$6,2))</f>
        <v/>
      </c>
      <c r="J1641" s="394" t="str">
        <f t="shared" ref="J1641:J1704" si="115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16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3"/>
        <v/>
      </c>
      <c r="I1642" s="394" t="str">
        <f t="shared" si="114"/>
        <v/>
      </c>
      <c r="J1642" s="394" t="str">
        <f t="shared" si="115"/>
        <v/>
      </c>
      <c r="K1642" s="394" t="str">
        <f t="shared" si="116"/>
        <v/>
      </c>
    </row>
    <row r="1643" spans="8:11" x14ac:dyDescent="0.25">
      <c r="H1643" s="394" t="str">
        <f t="shared" si="113"/>
        <v/>
      </c>
      <c r="I1643" s="394" t="str">
        <f t="shared" si="114"/>
        <v/>
      </c>
      <c r="J1643" s="394" t="str">
        <f t="shared" si="115"/>
        <v/>
      </c>
      <c r="K1643" s="394" t="str">
        <f t="shared" si="116"/>
        <v/>
      </c>
    </row>
    <row r="1644" spans="8:11" x14ac:dyDescent="0.25">
      <c r="H1644" s="394" t="str">
        <f t="shared" si="113"/>
        <v/>
      </c>
      <c r="I1644" s="394" t="str">
        <f t="shared" si="114"/>
        <v/>
      </c>
      <c r="J1644" s="394" t="str">
        <f t="shared" si="115"/>
        <v/>
      </c>
      <c r="K1644" s="394" t="str">
        <f t="shared" si="116"/>
        <v/>
      </c>
    </row>
    <row r="1645" spans="8:11" x14ac:dyDescent="0.25">
      <c r="H1645" s="394" t="str">
        <f t="shared" si="113"/>
        <v/>
      </c>
      <c r="I1645" s="394" t="str">
        <f t="shared" si="114"/>
        <v/>
      </c>
      <c r="J1645" s="394" t="str">
        <f t="shared" si="115"/>
        <v/>
      </c>
      <c r="K1645" s="394" t="str">
        <f t="shared" si="116"/>
        <v/>
      </c>
    </row>
    <row r="1646" spans="8:11" x14ac:dyDescent="0.25">
      <c r="H1646" s="394" t="str">
        <f t="shared" si="113"/>
        <v/>
      </c>
      <c r="I1646" s="394" t="str">
        <f t="shared" si="114"/>
        <v/>
      </c>
      <c r="J1646" s="394" t="str">
        <f t="shared" si="115"/>
        <v/>
      </c>
      <c r="K1646" s="394" t="str">
        <f t="shared" si="116"/>
        <v/>
      </c>
    </row>
    <row r="1647" spans="8:11" x14ac:dyDescent="0.25">
      <c r="H1647" s="394" t="str">
        <f t="shared" si="113"/>
        <v/>
      </c>
      <c r="I1647" s="394" t="str">
        <f t="shared" si="114"/>
        <v/>
      </c>
      <c r="J1647" s="394" t="str">
        <f t="shared" si="115"/>
        <v/>
      </c>
      <c r="K1647" s="394" t="str">
        <f t="shared" si="116"/>
        <v/>
      </c>
    </row>
    <row r="1648" spans="8:11" x14ac:dyDescent="0.25">
      <c r="H1648" s="394" t="str">
        <f t="shared" si="113"/>
        <v/>
      </c>
      <c r="I1648" s="394" t="str">
        <f t="shared" si="114"/>
        <v/>
      </c>
      <c r="J1648" s="394" t="str">
        <f t="shared" si="115"/>
        <v/>
      </c>
      <c r="K1648" s="394" t="str">
        <f t="shared" si="116"/>
        <v/>
      </c>
    </row>
    <row r="1649" spans="8:11" x14ac:dyDescent="0.25">
      <c r="H1649" s="394" t="str">
        <f t="shared" si="113"/>
        <v/>
      </c>
      <c r="I1649" s="394" t="str">
        <f t="shared" si="114"/>
        <v/>
      </c>
      <c r="J1649" s="394" t="str">
        <f t="shared" si="115"/>
        <v/>
      </c>
      <c r="K1649" s="394" t="str">
        <f t="shared" si="116"/>
        <v/>
      </c>
    </row>
    <row r="1650" spans="8:11" x14ac:dyDescent="0.25">
      <c r="H1650" s="394" t="str">
        <f t="shared" si="113"/>
        <v/>
      </c>
      <c r="I1650" s="394" t="str">
        <f t="shared" si="114"/>
        <v/>
      </c>
      <c r="J1650" s="394" t="str">
        <f t="shared" si="115"/>
        <v/>
      </c>
      <c r="K1650" s="394" t="str">
        <f t="shared" si="116"/>
        <v/>
      </c>
    </row>
    <row r="1651" spans="8:11" x14ac:dyDescent="0.25">
      <c r="H1651" s="394" t="str">
        <f t="shared" si="113"/>
        <v/>
      </c>
      <c r="I1651" s="394" t="str">
        <f t="shared" si="114"/>
        <v/>
      </c>
      <c r="J1651" s="394" t="str">
        <f t="shared" si="115"/>
        <v/>
      </c>
      <c r="K1651" s="394" t="str">
        <f t="shared" si="116"/>
        <v/>
      </c>
    </row>
    <row r="1652" spans="8:11" x14ac:dyDescent="0.25">
      <c r="H1652" s="394" t="str">
        <f t="shared" si="113"/>
        <v/>
      </c>
      <c r="I1652" s="394" t="str">
        <f t="shared" si="114"/>
        <v/>
      </c>
      <c r="J1652" s="394" t="str">
        <f t="shared" si="115"/>
        <v/>
      </c>
      <c r="K1652" s="394" t="str">
        <f t="shared" si="116"/>
        <v/>
      </c>
    </row>
    <row r="1653" spans="8:11" x14ac:dyDescent="0.25">
      <c r="H1653" s="394" t="str">
        <f t="shared" si="113"/>
        <v/>
      </c>
      <c r="I1653" s="394" t="str">
        <f t="shared" si="114"/>
        <v/>
      </c>
      <c r="J1653" s="394" t="str">
        <f t="shared" si="115"/>
        <v/>
      </c>
      <c r="K1653" s="394" t="str">
        <f t="shared" si="116"/>
        <v/>
      </c>
    </row>
    <row r="1654" spans="8:11" x14ac:dyDescent="0.25">
      <c r="H1654" s="394" t="str">
        <f t="shared" si="113"/>
        <v/>
      </c>
      <c r="I1654" s="394" t="str">
        <f t="shared" si="114"/>
        <v/>
      </c>
      <c r="J1654" s="394" t="str">
        <f t="shared" si="115"/>
        <v/>
      </c>
      <c r="K1654" s="394" t="str">
        <f t="shared" si="116"/>
        <v/>
      </c>
    </row>
    <row r="1655" spans="8:11" x14ac:dyDescent="0.25">
      <c r="H1655" s="394" t="str">
        <f t="shared" si="113"/>
        <v/>
      </c>
      <c r="I1655" s="394" t="str">
        <f t="shared" si="114"/>
        <v/>
      </c>
      <c r="J1655" s="394" t="str">
        <f t="shared" si="115"/>
        <v/>
      </c>
      <c r="K1655" s="394" t="str">
        <f t="shared" si="116"/>
        <v/>
      </c>
    </row>
    <row r="1656" spans="8:11" x14ac:dyDescent="0.25">
      <c r="H1656" s="394" t="str">
        <f t="shared" si="113"/>
        <v/>
      </c>
      <c r="I1656" s="394" t="str">
        <f t="shared" si="114"/>
        <v/>
      </c>
      <c r="J1656" s="394" t="str">
        <f t="shared" si="115"/>
        <v/>
      </c>
      <c r="K1656" s="394" t="str">
        <f t="shared" si="116"/>
        <v/>
      </c>
    </row>
    <row r="1657" spans="8:11" x14ac:dyDescent="0.25">
      <c r="H1657" s="394" t="str">
        <f t="shared" si="113"/>
        <v/>
      </c>
      <c r="I1657" s="394" t="str">
        <f t="shared" si="114"/>
        <v/>
      </c>
      <c r="J1657" s="394" t="str">
        <f t="shared" si="115"/>
        <v/>
      </c>
      <c r="K1657" s="394" t="str">
        <f t="shared" si="116"/>
        <v/>
      </c>
    </row>
    <row r="1658" spans="8:11" x14ac:dyDescent="0.25">
      <c r="H1658" s="394" t="str">
        <f t="shared" si="113"/>
        <v/>
      </c>
      <c r="I1658" s="394" t="str">
        <f t="shared" si="114"/>
        <v/>
      </c>
      <c r="J1658" s="394" t="str">
        <f t="shared" si="115"/>
        <v/>
      </c>
      <c r="K1658" s="394" t="str">
        <f t="shared" si="116"/>
        <v/>
      </c>
    </row>
    <row r="1659" spans="8:11" x14ac:dyDescent="0.25">
      <c r="H1659" s="394" t="str">
        <f t="shared" si="113"/>
        <v/>
      </c>
      <c r="I1659" s="394" t="str">
        <f t="shared" si="114"/>
        <v/>
      </c>
      <c r="J1659" s="394" t="str">
        <f t="shared" si="115"/>
        <v/>
      </c>
      <c r="K1659" s="394" t="str">
        <f t="shared" si="116"/>
        <v/>
      </c>
    </row>
    <row r="1660" spans="8:11" x14ac:dyDescent="0.25">
      <c r="H1660" s="394" t="str">
        <f t="shared" si="113"/>
        <v/>
      </c>
      <c r="I1660" s="394" t="str">
        <f t="shared" si="114"/>
        <v/>
      </c>
      <c r="J1660" s="394" t="str">
        <f t="shared" si="115"/>
        <v/>
      </c>
      <c r="K1660" s="394" t="str">
        <f t="shared" si="116"/>
        <v/>
      </c>
    </row>
    <row r="1661" spans="8:11" x14ac:dyDescent="0.25">
      <c r="H1661" s="394" t="str">
        <f t="shared" si="113"/>
        <v/>
      </c>
      <c r="I1661" s="394" t="str">
        <f t="shared" si="114"/>
        <v/>
      </c>
      <c r="J1661" s="394" t="str">
        <f t="shared" si="115"/>
        <v/>
      </c>
      <c r="K1661" s="394" t="str">
        <f t="shared" si="116"/>
        <v/>
      </c>
    </row>
    <row r="1662" spans="8:11" x14ac:dyDescent="0.25">
      <c r="H1662" s="394" t="str">
        <f t="shared" si="113"/>
        <v/>
      </c>
      <c r="I1662" s="394" t="str">
        <f t="shared" si="114"/>
        <v/>
      </c>
      <c r="J1662" s="394" t="str">
        <f t="shared" si="115"/>
        <v/>
      </c>
      <c r="K1662" s="394" t="str">
        <f t="shared" si="116"/>
        <v/>
      </c>
    </row>
    <row r="1663" spans="8:11" x14ac:dyDescent="0.25">
      <c r="H1663" s="394" t="str">
        <f t="shared" si="113"/>
        <v/>
      </c>
      <c r="I1663" s="394" t="str">
        <f t="shared" si="114"/>
        <v/>
      </c>
      <c r="J1663" s="394" t="str">
        <f t="shared" si="115"/>
        <v/>
      </c>
      <c r="K1663" s="394" t="str">
        <f t="shared" si="116"/>
        <v/>
      </c>
    </row>
    <row r="1664" spans="8:11" x14ac:dyDescent="0.25">
      <c r="H1664" s="394" t="str">
        <f t="shared" si="113"/>
        <v/>
      </c>
      <c r="I1664" s="394" t="str">
        <f t="shared" si="114"/>
        <v/>
      </c>
      <c r="J1664" s="394" t="str">
        <f t="shared" si="115"/>
        <v/>
      </c>
      <c r="K1664" s="394" t="str">
        <f t="shared" si="116"/>
        <v/>
      </c>
    </row>
    <row r="1665" spans="8:11" x14ac:dyDescent="0.25">
      <c r="H1665" s="394" t="str">
        <f t="shared" si="113"/>
        <v/>
      </c>
      <c r="I1665" s="394" t="str">
        <f t="shared" si="114"/>
        <v/>
      </c>
      <c r="J1665" s="394" t="str">
        <f t="shared" si="115"/>
        <v/>
      </c>
      <c r="K1665" s="394" t="str">
        <f t="shared" si="116"/>
        <v/>
      </c>
    </row>
    <row r="1666" spans="8:11" x14ac:dyDescent="0.25">
      <c r="H1666" s="394" t="str">
        <f t="shared" si="113"/>
        <v/>
      </c>
      <c r="I1666" s="394" t="str">
        <f t="shared" si="114"/>
        <v/>
      </c>
      <c r="J1666" s="394" t="str">
        <f t="shared" si="115"/>
        <v/>
      </c>
      <c r="K1666" s="394" t="str">
        <f t="shared" si="116"/>
        <v/>
      </c>
    </row>
    <row r="1667" spans="8:11" x14ac:dyDescent="0.25">
      <c r="H1667" s="394" t="str">
        <f t="shared" si="113"/>
        <v/>
      </c>
      <c r="I1667" s="394" t="str">
        <f t="shared" si="114"/>
        <v/>
      </c>
      <c r="J1667" s="394" t="str">
        <f t="shared" si="115"/>
        <v/>
      </c>
      <c r="K1667" s="394" t="str">
        <f t="shared" si="116"/>
        <v/>
      </c>
    </row>
    <row r="1668" spans="8:11" x14ac:dyDescent="0.25">
      <c r="H1668" s="394" t="str">
        <f t="shared" si="113"/>
        <v/>
      </c>
      <c r="I1668" s="394" t="str">
        <f t="shared" si="114"/>
        <v/>
      </c>
      <c r="J1668" s="394" t="str">
        <f t="shared" si="115"/>
        <v/>
      </c>
      <c r="K1668" s="394" t="str">
        <f t="shared" si="116"/>
        <v/>
      </c>
    </row>
    <row r="1669" spans="8:11" x14ac:dyDescent="0.25">
      <c r="H1669" s="394" t="str">
        <f t="shared" si="113"/>
        <v/>
      </c>
      <c r="I1669" s="394" t="str">
        <f t="shared" si="114"/>
        <v/>
      </c>
      <c r="J1669" s="394" t="str">
        <f t="shared" si="115"/>
        <v/>
      </c>
      <c r="K1669" s="394" t="str">
        <f t="shared" si="116"/>
        <v/>
      </c>
    </row>
    <row r="1670" spans="8:11" x14ac:dyDescent="0.25">
      <c r="H1670" s="394" t="str">
        <f t="shared" si="113"/>
        <v/>
      </c>
      <c r="I1670" s="394" t="str">
        <f t="shared" si="114"/>
        <v/>
      </c>
      <c r="J1670" s="394" t="str">
        <f t="shared" si="115"/>
        <v/>
      </c>
      <c r="K1670" s="394" t="str">
        <f t="shared" si="116"/>
        <v/>
      </c>
    </row>
    <row r="1671" spans="8:11" x14ac:dyDescent="0.25">
      <c r="H1671" s="394" t="str">
        <f t="shared" si="113"/>
        <v/>
      </c>
      <c r="I1671" s="394" t="str">
        <f t="shared" si="114"/>
        <v/>
      </c>
      <c r="J1671" s="394" t="str">
        <f t="shared" si="115"/>
        <v/>
      </c>
      <c r="K1671" s="394" t="str">
        <f t="shared" si="116"/>
        <v/>
      </c>
    </row>
    <row r="1672" spans="8:11" x14ac:dyDescent="0.25">
      <c r="H1672" s="394" t="str">
        <f t="shared" si="113"/>
        <v/>
      </c>
      <c r="I1672" s="394" t="str">
        <f t="shared" si="114"/>
        <v/>
      </c>
      <c r="J1672" s="394" t="str">
        <f t="shared" si="115"/>
        <v/>
      </c>
      <c r="K1672" s="394" t="str">
        <f t="shared" si="116"/>
        <v/>
      </c>
    </row>
    <row r="1673" spans="8:11" x14ac:dyDescent="0.25">
      <c r="H1673" s="394" t="str">
        <f t="shared" si="113"/>
        <v/>
      </c>
      <c r="I1673" s="394" t="str">
        <f t="shared" si="114"/>
        <v/>
      </c>
      <c r="J1673" s="394" t="str">
        <f t="shared" si="115"/>
        <v/>
      </c>
      <c r="K1673" s="394" t="str">
        <f t="shared" si="116"/>
        <v/>
      </c>
    </row>
    <row r="1674" spans="8:11" x14ac:dyDescent="0.25">
      <c r="H1674" s="394" t="str">
        <f t="shared" si="113"/>
        <v/>
      </c>
      <c r="I1674" s="394" t="str">
        <f t="shared" si="114"/>
        <v/>
      </c>
      <c r="J1674" s="394" t="str">
        <f t="shared" si="115"/>
        <v/>
      </c>
      <c r="K1674" s="394" t="str">
        <f t="shared" si="116"/>
        <v/>
      </c>
    </row>
    <row r="1675" spans="8:11" x14ac:dyDescent="0.25">
      <c r="H1675" s="394" t="str">
        <f t="shared" si="113"/>
        <v/>
      </c>
      <c r="I1675" s="394" t="str">
        <f t="shared" si="114"/>
        <v/>
      </c>
      <c r="J1675" s="394" t="str">
        <f t="shared" si="115"/>
        <v/>
      </c>
      <c r="K1675" s="394" t="str">
        <f t="shared" si="116"/>
        <v/>
      </c>
    </row>
    <row r="1676" spans="8:11" x14ac:dyDescent="0.25">
      <c r="H1676" s="394" t="str">
        <f t="shared" si="113"/>
        <v/>
      </c>
      <c r="I1676" s="394" t="str">
        <f t="shared" si="114"/>
        <v/>
      </c>
      <c r="J1676" s="394" t="str">
        <f t="shared" si="115"/>
        <v/>
      </c>
      <c r="K1676" s="394" t="str">
        <f t="shared" si="116"/>
        <v/>
      </c>
    </row>
    <row r="1677" spans="8:11" x14ac:dyDescent="0.25">
      <c r="H1677" s="394" t="str">
        <f t="shared" si="113"/>
        <v/>
      </c>
      <c r="I1677" s="394" t="str">
        <f t="shared" si="114"/>
        <v/>
      </c>
      <c r="J1677" s="394" t="str">
        <f t="shared" si="115"/>
        <v/>
      </c>
      <c r="K1677" s="394" t="str">
        <f t="shared" si="116"/>
        <v/>
      </c>
    </row>
    <row r="1678" spans="8:11" x14ac:dyDescent="0.25">
      <c r="H1678" s="394" t="str">
        <f t="shared" si="113"/>
        <v/>
      </c>
      <c r="I1678" s="394" t="str">
        <f t="shared" si="114"/>
        <v/>
      </c>
      <c r="J1678" s="394" t="str">
        <f t="shared" si="115"/>
        <v/>
      </c>
      <c r="K1678" s="394" t="str">
        <f t="shared" si="116"/>
        <v/>
      </c>
    </row>
    <row r="1679" spans="8:11" x14ac:dyDescent="0.25">
      <c r="H1679" s="394" t="str">
        <f t="shared" si="113"/>
        <v/>
      </c>
      <c r="I1679" s="394" t="str">
        <f t="shared" si="114"/>
        <v/>
      </c>
      <c r="J1679" s="394" t="str">
        <f t="shared" si="115"/>
        <v/>
      </c>
      <c r="K1679" s="394" t="str">
        <f t="shared" si="116"/>
        <v/>
      </c>
    </row>
    <row r="1680" spans="8:11" x14ac:dyDescent="0.25">
      <c r="H1680" s="394" t="str">
        <f t="shared" si="113"/>
        <v/>
      </c>
      <c r="I1680" s="394" t="str">
        <f t="shared" si="114"/>
        <v/>
      </c>
      <c r="J1680" s="394" t="str">
        <f t="shared" si="115"/>
        <v/>
      </c>
      <c r="K1680" s="394" t="str">
        <f t="shared" si="116"/>
        <v/>
      </c>
    </row>
    <row r="1681" spans="8:11" x14ac:dyDescent="0.25">
      <c r="H1681" s="394" t="str">
        <f t="shared" si="113"/>
        <v/>
      </c>
      <c r="I1681" s="394" t="str">
        <f t="shared" si="114"/>
        <v/>
      </c>
      <c r="J1681" s="394" t="str">
        <f t="shared" si="115"/>
        <v/>
      </c>
      <c r="K1681" s="394" t="str">
        <f t="shared" si="116"/>
        <v/>
      </c>
    </row>
    <row r="1682" spans="8:11" x14ac:dyDescent="0.25">
      <c r="H1682" s="394" t="str">
        <f t="shared" si="113"/>
        <v/>
      </c>
      <c r="I1682" s="394" t="str">
        <f t="shared" si="114"/>
        <v/>
      </c>
      <c r="J1682" s="394" t="str">
        <f t="shared" si="115"/>
        <v/>
      </c>
      <c r="K1682" s="394" t="str">
        <f t="shared" si="116"/>
        <v/>
      </c>
    </row>
    <row r="1683" spans="8:11" x14ac:dyDescent="0.25">
      <c r="H1683" s="394" t="str">
        <f t="shared" si="113"/>
        <v/>
      </c>
      <c r="I1683" s="394" t="str">
        <f t="shared" si="114"/>
        <v/>
      </c>
      <c r="J1683" s="394" t="str">
        <f t="shared" si="115"/>
        <v/>
      </c>
      <c r="K1683" s="394" t="str">
        <f t="shared" si="116"/>
        <v/>
      </c>
    </row>
    <row r="1684" spans="8:11" x14ac:dyDescent="0.25">
      <c r="H1684" s="394" t="str">
        <f t="shared" si="113"/>
        <v/>
      </c>
      <c r="I1684" s="394" t="str">
        <f t="shared" si="114"/>
        <v/>
      </c>
      <c r="J1684" s="394" t="str">
        <f t="shared" si="115"/>
        <v/>
      </c>
      <c r="K1684" s="394" t="str">
        <f t="shared" si="116"/>
        <v/>
      </c>
    </row>
    <row r="1685" spans="8:11" x14ac:dyDescent="0.25">
      <c r="H1685" s="394" t="str">
        <f t="shared" si="113"/>
        <v/>
      </c>
      <c r="I1685" s="394" t="str">
        <f t="shared" si="114"/>
        <v/>
      </c>
      <c r="J1685" s="394" t="str">
        <f t="shared" si="115"/>
        <v/>
      </c>
      <c r="K1685" s="394" t="str">
        <f t="shared" si="116"/>
        <v/>
      </c>
    </row>
    <row r="1686" spans="8:11" x14ac:dyDescent="0.25">
      <c r="H1686" s="394" t="str">
        <f t="shared" si="113"/>
        <v/>
      </c>
      <c r="I1686" s="394" t="str">
        <f t="shared" si="114"/>
        <v/>
      </c>
      <c r="J1686" s="394" t="str">
        <f t="shared" si="115"/>
        <v/>
      </c>
      <c r="K1686" s="394" t="str">
        <f t="shared" si="116"/>
        <v/>
      </c>
    </row>
    <row r="1687" spans="8:11" x14ac:dyDescent="0.25">
      <c r="H1687" s="394" t="str">
        <f t="shared" si="113"/>
        <v/>
      </c>
      <c r="I1687" s="394" t="str">
        <f t="shared" si="114"/>
        <v/>
      </c>
      <c r="J1687" s="394" t="str">
        <f t="shared" si="115"/>
        <v/>
      </c>
      <c r="K1687" s="394" t="str">
        <f t="shared" si="116"/>
        <v/>
      </c>
    </row>
    <row r="1688" spans="8:11" x14ac:dyDescent="0.25">
      <c r="H1688" s="394" t="str">
        <f t="shared" si="113"/>
        <v/>
      </c>
      <c r="I1688" s="394" t="str">
        <f t="shared" si="114"/>
        <v/>
      </c>
      <c r="J1688" s="394" t="str">
        <f t="shared" si="115"/>
        <v/>
      </c>
      <c r="K1688" s="394" t="str">
        <f t="shared" si="116"/>
        <v/>
      </c>
    </row>
    <row r="1689" spans="8:11" x14ac:dyDescent="0.25">
      <c r="H1689" s="394" t="str">
        <f t="shared" si="113"/>
        <v/>
      </c>
      <c r="I1689" s="394" t="str">
        <f t="shared" si="114"/>
        <v/>
      </c>
      <c r="J1689" s="394" t="str">
        <f t="shared" si="115"/>
        <v/>
      </c>
      <c r="K1689" s="394" t="str">
        <f t="shared" si="116"/>
        <v/>
      </c>
    </row>
    <row r="1690" spans="8:11" x14ac:dyDescent="0.25">
      <c r="H1690" s="394" t="str">
        <f t="shared" si="113"/>
        <v/>
      </c>
      <c r="I1690" s="394" t="str">
        <f t="shared" si="114"/>
        <v/>
      </c>
      <c r="J1690" s="394" t="str">
        <f t="shared" si="115"/>
        <v/>
      </c>
      <c r="K1690" s="394" t="str">
        <f t="shared" si="116"/>
        <v/>
      </c>
    </row>
    <row r="1691" spans="8:11" x14ac:dyDescent="0.25">
      <c r="H1691" s="394" t="str">
        <f t="shared" si="113"/>
        <v/>
      </c>
      <c r="I1691" s="394" t="str">
        <f t="shared" si="114"/>
        <v/>
      </c>
      <c r="J1691" s="394" t="str">
        <f t="shared" si="115"/>
        <v/>
      </c>
      <c r="K1691" s="394" t="str">
        <f t="shared" si="116"/>
        <v/>
      </c>
    </row>
    <row r="1692" spans="8:11" x14ac:dyDescent="0.25">
      <c r="H1692" s="394" t="str">
        <f t="shared" si="113"/>
        <v/>
      </c>
      <c r="I1692" s="394" t="str">
        <f t="shared" si="114"/>
        <v/>
      </c>
      <c r="J1692" s="394" t="str">
        <f t="shared" si="115"/>
        <v/>
      </c>
      <c r="K1692" s="394" t="str">
        <f t="shared" si="116"/>
        <v/>
      </c>
    </row>
    <row r="1693" spans="8:11" x14ac:dyDescent="0.25">
      <c r="H1693" s="394" t="str">
        <f t="shared" si="113"/>
        <v/>
      </c>
      <c r="I1693" s="394" t="str">
        <f t="shared" si="114"/>
        <v/>
      </c>
      <c r="J1693" s="394" t="str">
        <f t="shared" si="115"/>
        <v/>
      </c>
      <c r="K1693" s="394" t="str">
        <f t="shared" si="116"/>
        <v/>
      </c>
    </row>
    <row r="1694" spans="8:11" x14ac:dyDescent="0.25">
      <c r="H1694" s="394" t="str">
        <f t="shared" si="113"/>
        <v/>
      </c>
      <c r="I1694" s="394" t="str">
        <f t="shared" si="114"/>
        <v/>
      </c>
      <c r="J1694" s="394" t="str">
        <f t="shared" si="115"/>
        <v/>
      </c>
      <c r="K1694" s="394" t="str">
        <f t="shared" si="116"/>
        <v/>
      </c>
    </row>
    <row r="1695" spans="8:11" x14ac:dyDescent="0.25">
      <c r="H1695" s="394" t="str">
        <f t="shared" si="113"/>
        <v/>
      </c>
      <c r="I1695" s="394" t="str">
        <f t="shared" si="114"/>
        <v/>
      </c>
      <c r="J1695" s="394" t="str">
        <f t="shared" si="115"/>
        <v/>
      </c>
      <c r="K1695" s="394" t="str">
        <f t="shared" si="116"/>
        <v/>
      </c>
    </row>
    <row r="1696" spans="8:11" x14ac:dyDescent="0.25">
      <c r="H1696" s="394" t="str">
        <f t="shared" si="113"/>
        <v/>
      </c>
      <c r="I1696" s="394" t="str">
        <f t="shared" si="114"/>
        <v/>
      </c>
      <c r="J1696" s="394" t="str">
        <f t="shared" si="115"/>
        <v/>
      </c>
      <c r="K1696" s="394" t="str">
        <f t="shared" si="116"/>
        <v/>
      </c>
    </row>
    <row r="1697" spans="8:11" x14ac:dyDescent="0.25">
      <c r="H1697" s="394" t="str">
        <f t="shared" si="113"/>
        <v/>
      </c>
      <c r="I1697" s="394" t="str">
        <f t="shared" si="114"/>
        <v/>
      </c>
      <c r="J1697" s="394" t="str">
        <f t="shared" si="115"/>
        <v/>
      </c>
      <c r="K1697" s="394" t="str">
        <f t="shared" si="116"/>
        <v/>
      </c>
    </row>
    <row r="1698" spans="8:11" x14ac:dyDescent="0.25">
      <c r="H1698" s="394" t="str">
        <f t="shared" si="113"/>
        <v/>
      </c>
      <c r="I1698" s="394" t="str">
        <f t="shared" si="114"/>
        <v/>
      </c>
      <c r="J1698" s="394" t="str">
        <f t="shared" si="115"/>
        <v/>
      </c>
      <c r="K1698" s="394" t="str">
        <f t="shared" si="116"/>
        <v/>
      </c>
    </row>
    <row r="1699" spans="8:11" x14ac:dyDescent="0.25">
      <c r="H1699" s="394" t="str">
        <f t="shared" si="113"/>
        <v/>
      </c>
      <c r="I1699" s="394" t="str">
        <f t="shared" si="114"/>
        <v/>
      </c>
      <c r="J1699" s="394" t="str">
        <f t="shared" si="115"/>
        <v/>
      </c>
      <c r="K1699" s="394" t="str">
        <f t="shared" si="116"/>
        <v/>
      </c>
    </row>
    <row r="1700" spans="8:11" x14ac:dyDescent="0.25">
      <c r="H1700" s="394" t="str">
        <f t="shared" si="113"/>
        <v/>
      </c>
      <c r="I1700" s="394" t="str">
        <f t="shared" si="114"/>
        <v/>
      </c>
      <c r="J1700" s="394" t="str">
        <f t="shared" si="115"/>
        <v/>
      </c>
      <c r="K1700" s="394" t="str">
        <f t="shared" si="116"/>
        <v/>
      </c>
    </row>
    <row r="1701" spans="8:11" x14ac:dyDescent="0.25">
      <c r="H1701" s="394" t="str">
        <f t="shared" si="113"/>
        <v/>
      </c>
      <c r="I1701" s="394" t="str">
        <f t="shared" si="114"/>
        <v/>
      </c>
      <c r="J1701" s="394" t="str">
        <f t="shared" si="115"/>
        <v/>
      </c>
      <c r="K1701" s="394" t="str">
        <f t="shared" si="116"/>
        <v/>
      </c>
    </row>
    <row r="1702" spans="8:11" x14ac:dyDescent="0.25">
      <c r="H1702" s="394" t="str">
        <f t="shared" si="113"/>
        <v/>
      </c>
      <c r="I1702" s="394" t="str">
        <f t="shared" si="114"/>
        <v/>
      </c>
      <c r="J1702" s="394" t="str">
        <f t="shared" si="115"/>
        <v/>
      </c>
      <c r="K1702" s="394" t="str">
        <f t="shared" si="116"/>
        <v/>
      </c>
    </row>
    <row r="1703" spans="8:11" x14ac:dyDescent="0.25">
      <c r="H1703" s="394" t="str">
        <f t="shared" si="113"/>
        <v/>
      </c>
      <c r="I1703" s="394" t="str">
        <f t="shared" si="114"/>
        <v/>
      </c>
      <c r="J1703" s="394" t="str">
        <f t="shared" si="115"/>
        <v/>
      </c>
      <c r="K1703" s="394" t="str">
        <f t="shared" si="116"/>
        <v/>
      </c>
    </row>
    <row r="1704" spans="8:11" x14ac:dyDescent="0.25">
      <c r="H1704" s="394" t="str">
        <f t="shared" si="113"/>
        <v/>
      </c>
      <c r="I1704" s="394" t="str">
        <f t="shared" si="114"/>
        <v/>
      </c>
      <c r="J1704" s="394" t="str">
        <f t="shared" si="115"/>
        <v/>
      </c>
      <c r="K1704" s="394" t="str">
        <f t="shared" si="116"/>
        <v/>
      </c>
    </row>
    <row r="1705" spans="8:11" x14ac:dyDescent="0.25">
      <c r="H1705" s="394" t="str">
        <f t="shared" ref="H1705:H1768" si="117">IF($C727="","",ROUND(($B$2*$F727*($B$5/1000))/$B$6,2))</f>
        <v/>
      </c>
      <c r="I1705" s="394" t="str">
        <f t="shared" ref="I1705:I1768" si="118">IF($C727="","",ROUND(($B$3*$F727*($B$5/1000))/$B$6,2))</f>
        <v/>
      </c>
      <c r="J1705" s="394" t="str">
        <f t="shared" ref="J1705:J1768" si="119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0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17"/>
        <v/>
      </c>
      <c r="I1706" s="394" t="str">
        <f t="shared" si="118"/>
        <v/>
      </c>
      <c r="J1706" s="394" t="str">
        <f t="shared" si="119"/>
        <v/>
      </c>
      <c r="K1706" s="394" t="str">
        <f t="shared" si="120"/>
        <v/>
      </c>
    </row>
    <row r="1707" spans="8:11" x14ac:dyDescent="0.25">
      <c r="H1707" s="394" t="str">
        <f t="shared" si="117"/>
        <v/>
      </c>
      <c r="I1707" s="394" t="str">
        <f t="shared" si="118"/>
        <v/>
      </c>
      <c r="J1707" s="394" t="str">
        <f t="shared" si="119"/>
        <v/>
      </c>
      <c r="K1707" s="394" t="str">
        <f t="shared" si="120"/>
        <v/>
      </c>
    </row>
    <row r="1708" spans="8:11" x14ac:dyDescent="0.25">
      <c r="H1708" s="394" t="str">
        <f t="shared" si="117"/>
        <v/>
      </c>
      <c r="I1708" s="394" t="str">
        <f t="shared" si="118"/>
        <v/>
      </c>
      <c r="J1708" s="394" t="str">
        <f t="shared" si="119"/>
        <v/>
      </c>
      <c r="K1708" s="394" t="str">
        <f t="shared" si="120"/>
        <v/>
      </c>
    </row>
    <row r="1709" spans="8:11" x14ac:dyDescent="0.25">
      <c r="H1709" s="394" t="str">
        <f t="shared" si="117"/>
        <v/>
      </c>
      <c r="I1709" s="394" t="str">
        <f t="shared" si="118"/>
        <v/>
      </c>
      <c r="J1709" s="394" t="str">
        <f t="shared" si="119"/>
        <v/>
      </c>
      <c r="K1709" s="394" t="str">
        <f t="shared" si="120"/>
        <v/>
      </c>
    </row>
    <row r="1710" spans="8:11" x14ac:dyDescent="0.25">
      <c r="H1710" s="394" t="str">
        <f t="shared" si="117"/>
        <v/>
      </c>
      <c r="I1710" s="394" t="str">
        <f t="shared" si="118"/>
        <v/>
      </c>
      <c r="J1710" s="394" t="str">
        <f t="shared" si="119"/>
        <v/>
      </c>
      <c r="K1710" s="394" t="str">
        <f t="shared" si="120"/>
        <v/>
      </c>
    </row>
    <row r="1711" spans="8:11" x14ac:dyDescent="0.25">
      <c r="H1711" s="394" t="str">
        <f t="shared" si="117"/>
        <v/>
      </c>
      <c r="I1711" s="394" t="str">
        <f t="shared" si="118"/>
        <v/>
      </c>
      <c r="J1711" s="394" t="str">
        <f t="shared" si="119"/>
        <v/>
      </c>
      <c r="K1711" s="394" t="str">
        <f t="shared" si="120"/>
        <v/>
      </c>
    </row>
    <row r="1712" spans="8:11" x14ac:dyDescent="0.25">
      <c r="H1712" s="394" t="str">
        <f t="shared" si="117"/>
        <v/>
      </c>
      <c r="I1712" s="394" t="str">
        <f t="shared" si="118"/>
        <v/>
      </c>
      <c r="J1712" s="394" t="str">
        <f t="shared" si="119"/>
        <v/>
      </c>
      <c r="K1712" s="394" t="str">
        <f t="shared" si="120"/>
        <v/>
      </c>
    </row>
    <row r="1713" spans="8:11" x14ac:dyDescent="0.25">
      <c r="H1713" s="394" t="str">
        <f t="shared" si="117"/>
        <v/>
      </c>
      <c r="I1713" s="394" t="str">
        <f t="shared" si="118"/>
        <v/>
      </c>
      <c r="J1713" s="394" t="str">
        <f t="shared" si="119"/>
        <v/>
      </c>
      <c r="K1713" s="394" t="str">
        <f t="shared" si="120"/>
        <v/>
      </c>
    </row>
    <row r="1714" spans="8:11" x14ac:dyDescent="0.25">
      <c r="H1714" s="394" t="str">
        <f t="shared" si="117"/>
        <v/>
      </c>
      <c r="I1714" s="394" t="str">
        <f t="shared" si="118"/>
        <v/>
      </c>
      <c r="J1714" s="394" t="str">
        <f t="shared" si="119"/>
        <v/>
      </c>
      <c r="K1714" s="394" t="str">
        <f t="shared" si="120"/>
        <v/>
      </c>
    </row>
    <row r="1715" spans="8:11" x14ac:dyDescent="0.25">
      <c r="H1715" s="394" t="str">
        <f t="shared" si="117"/>
        <v/>
      </c>
      <c r="I1715" s="394" t="str">
        <f t="shared" si="118"/>
        <v/>
      </c>
      <c r="J1715" s="394" t="str">
        <f t="shared" si="119"/>
        <v/>
      </c>
      <c r="K1715" s="394" t="str">
        <f t="shared" si="120"/>
        <v/>
      </c>
    </row>
    <row r="1716" spans="8:11" x14ac:dyDescent="0.25">
      <c r="H1716" s="394" t="str">
        <f t="shared" si="117"/>
        <v/>
      </c>
      <c r="I1716" s="394" t="str">
        <f t="shared" si="118"/>
        <v/>
      </c>
      <c r="J1716" s="394" t="str">
        <f t="shared" si="119"/>
        <v/>
      </c>
      <c r="K1716" s="394" t="str">
        <f t="shared" si="120"/>
        <v/>
      </c>
    </row>
    <row r="1717" spans="8:11" x14ac:dyDescent="0.25">
      <c r="H1717" s="394" t="str">
        <f t="shared" si="117"/>
        <v/>
      </c>
      <c r="I1717" s="394" t="str">
        <f t="shared" si="118"/>
        <v/>
      </c>
      <c r="J1717" s="394" t="str">
        <f t="shared" si="119"/>
        <v/>
      </c>
      <c r="K1717" s="394" t="str">
        <f t="shared" si="120"/>
        <v/>
      </c>
    </row>
    <row r="1718" spans="8:11" x14ac:dyDescent="0.25">
      <c r="H1718" s="394" t="str">
        <f t="shared" si="117"/>
        <v/>
      </c>
      <c r="I1718" s="394" t="str">
        <f t="shared" si="118"/>
        <v/>
      </c>
      <c r="J1718" s="394" t="str">
        <f t="shared" si="119"/>
        <v/>
      </c>
      <c r="K1718" s="394" t="str">
        <f t="shared" si="120"/>
        <v/>
      </c>
    </row>
    <row r="1719" spans="8:11" x14ac:dyDescent="0.25">
      <c r="H1719" s="394" t="str">
        <f t="shared" si="117"/>
        <v/>
      </c>
      <c r="I1719" s="394" t="str">
        <f t="shared" si="118"/>
        <v/>
      </c>
      <c r="J1719" s="394" t="str">
        <f t="shared" si="119"/>
        <v/>
      </c>
      <c r="K1719" s="394" t="str">
        <f t="shared" si="120"/>
        <v/>
      </c>
    </row>
    <row r="1720" spans="8:11" x14ac:dyDescent="0.25">
      <c r="H1720" s="394" t="str">
        <f t="shared" si="117"/>
        <v/>
      </c>
      <c r="I1720" s="394" t="str">
        <f t="shared" si="118"/>
        <v/>
      </c>
      <c r="J1720" s="394" t="str">
        <f t="shared" si="119"/>
        <v/>
      </c>
      <c r="K1720" s="394" t="str">
        <f t="shared" si="120"/>
        <v/>
      </c>
    </row>
    <row r="1721" spans="8:11" x14ac:dyDescent="0.25">
      <c r="H1721" s="394" t="str">
        <f t="shared" si="117"/>
        <v/>
      </c>
      <c r="I1721" s="394" t="str">
        <f t="shared" si="118"/>
        <v/>
      </c>
      <c r="J1721" s="394" t="str">
        <f t="shared" si="119"/>
        <v/>
      </c>
      <c r="K1721" s="394" t="str">
        <f t="shared" si="120"/>
        <v/>
      </c>
    </row>
    <row r="1722" spans="8:11" x14ac:dyDescent="0.25">
      <c r="H1722" s="394" t="str">
        <f t="shared" si="117"/>
        <v/>
      </c>
      <c r="I1722" s="394" t="str">
        <f t="shared" si="118"/>
        <v/>
      </c>
      <c r="J1722" s="394" t="str">
        <f t="shared" si="119"/>
        <v/>
      </c>
      <c r="K1722" s="394" t="str">
        <f t="shared" si="120"/>
        <v/>
      </c>
    </row>
    <row r="1723" spans="8:11" x14ac:dyDescent="0.25">
      <c r="H1723" s="394" t="str">
        <f t="shared" si="117"/>
        <v/>
      </c>
      <c r="I1723" s="394" t="str">
        <f t="shared" si="118"/>
        <v/>
      </c>
      <c r="J1723" s="394" t="str">
        <f t="shared" si="119"/>
        <v/>
      </c>
      <c r="K1723" s="394" t="str">
        <f t="shared" si="120"/>
        <v/>
      </c>
    </row>
    <row r="1724" spans="8:11" x14ac:dyDescent="0.25">
      <c r="H1724" s="394" t="str">
        <f t="shared" si="117"/>
        <v/>
      </c>
      <c r="I1724" s="394" t="str">
        <f t="shared" si="118"/>
        <v/>
      </c>
      <c r="J1724" s="394" t="str">
        <f t="shared" si="119"/>
        <v/>
      </c>
      <c r="K1724" s="394" t="str">
        <f t="shared" si="120"/>
        <v/>
      </c>
    </row>
    <row r="1725" spans="8:11" x14ac:dyDescent="0.25">
      <c r="H1725" s="394" t="str">
        <f t="shared" si="117"/>
        <v/>
      </c>
      <c r="I1725" s="394" t="str">
        <f t="shared" si="118"/>
        <v/>
      </c>
      <c r="J1725" s="394" t="str">
        <f t="shared" si="119"/>
        <v/>
      </c>
      <c r="K1725" s="394" t="str">
        <f t="shared" si="120"/>
        <v/>
      </c>
    </row>
    <row r="1726" spans="8:11" x14ac:dyDescent="0.25">
      <c r="H1726" s="394" t="str">
        <f t="shared" si="117"/>
        <v/>
      </c>
      <c r="I1726" s="394" t="str">
        <f t="shared" si="118"/>
        <v/>
      </c>
      <c r="J1726" s="394" t="str">
        <f t="shared" si="119"/>
        <v/>
      </c>
      <c r="K1726" s="394" t="str">
        <f t="shared" si="120"/>
        <v/>
      </c>
    </row>
    <row r="1727" spans="8:11" x14ac:dyDescent="0.25">
      <c r="H1727" s="394" t="str">
        <f t="shared" si="117"/>
        <v/>
      </c>
      <c r="I1727" s="394" t="str">
        <f t="shared" si="118"/>
        <v/>
      </c>
      <c r="J1727" s="394" t="str">
        <f t="shared" si="119"/>
        <v/>
      </c>
      <c r="K1727" s="394" t="str">
        <f t="shared" si="120"/>
        <v/>
      </c>
    </row>
    <row r="1728" spans="8:11" x14ac:dyDescent="0.25">
      <c r="H1728" s="394" t="str">
        <f t="shared" si="117"/>
        <v/>
      </c>
      <c r="I1728" s="394" t="str">
        <f t="shared" si="118"/>
        <v/>
      </c>
      <c r="J1728" s="394" t="str">
        <f t="shared" si="119"/>
        <v/>
      </c>
      <c r="K1728" s="394" t="str">
        <f t="shared" si="120"/>
        <v/>
      </c>
    </row>
    <row r="1729" spans="8:11" x14ac:dyDescent="0.25">
      <c r="H1729" s="394" t="str">
        <f t="shared" si="117"/>
        <v/>
      </c>
      <c r="I1729" s="394" t="str">
        <f t="shared" si="118"/>
        <v/>
      </c>
      <c r="J1729" s="394" t="str">
        <f t="shared" si="119"/>
        <v/>
      </c>
      <c r="K1729" s="394" t="str">
        <f t="shared" si="120"/>
        <v/>
      </c>
    </row>
    <row r="1730" spans="8:11" x14ac:dyDescent="0.25">
      <c r="H1730" s="394" t="str">
        <f t="shared" si="117"/>
        <v/>
      </c>
      <c r="I1730" s="394" t="str">
        <f t="shared" si="118"/>
        <v/>
      </c>
      <c r="J1730" s="394" t="str">
        <f t="shared" si="119"/>
        <v/>
      </c>
      <c r="K1730" s="394" t="str">
        <f t="shared" si="120"/>
        <v/>
      </c>
    </row>
    <row r="1731" spans="8:11" x14ac:dyDescent="0.25">
      <c r="H1731" s="394" t="str">
        <f t="shared" si="117"/>
        <v/>
      </c>
      <c r="I1731" s="394" t="str">
        <f t="shared" si="118"/>
        <v/>
      </c>
      <c r="J1731" s="394" t="str">
        <f t="shared" si="119"/>
        <v/>
      </c>
      <c r="K1731" s="394" t="str">
        <f t="shared" si="120"/>
        <v/>
      </c>
    </row>
    <row r="1732" spans="8:11" x14ac:dyDescent="0.25">
      <c r="H1732" s="394" t="str">
        <f t="shared" si="117"/>
        <v/>
      </c>
      <c r="I1732" s="394" t="str">
        <f t="shared" si="118"/>
        <v/>
      </c>
      <c r="J1732" s="394" t="str">
        <f t="shared" si="119"/>
        <v/>
      </c>
      <c r="K1732" s="394" t="str">
        <f t="shared" si="120"/>
        <v/>
      </c>
    </row>
    <row r="1733" spans="8:11" x14ac:dyDescent="0.25">
      <c r="H1733" s="394" t="str">
        <f t="shared" si="117"/>
        <v/>
      </c>
      <c r="I1733" s="394" t="str">
        <f t="shared" si="118"/>
        <v/>
      </c>
      <c r="J1733" s="394" t="str">
        <f t="shared" si="119"/>
        <v/>
      </c>
      <c r="K1733" s="394" t="str">
        <f t="shared" si="120"/>
        <v/>
      </c>
    </row>
    <row r="1734" spans="8:11" x14ac:dyDescent="0.25">
      <c r="H1734" s="394" t="str">
        <f t="shared" si="117"/>
        <v/>
      </c>
      <c r="I1734" s="394" t="str">
        <f t="shared" si="118"/>
        <v/>
      </c>
      <c r="J1734" s="394" t="str">
        <f t="shared" si="119"/>
        <v/>
      </c>
      <c r="K1734" s="394" t="str">
        <f t="shared" si="120"/>
        <v/>
      </c>
    </row>
    <row r="1735" spans="8:11" x14ac:dyDescent="0.25">
      <c r="H1735" s="394" t="str">
        <f t="shared" si="117"/>
        <v/>
      </c>
      <c r="I1735" s="394" t="str">
        <f t="shared" si="118"/>
        <v/>
      </c>
      <c r="J1735" s="394" t="str">
        <f t="shared" si="119"/>
        <v/>
      </c>
      <c r="K1735" s="394" t="str">
        <f t="shared" si="120"/>
        <v/>
      </c>
    </row>
    <row r="1736" spans="8:11" x14ac:dyDescent="0.25">
      <c r="H1736" s="394" t="str">
        <f t="shared" si="117"/>
        <v/>
      </c>
      <c r="I1736" s="394" t="str">
        <f t="shared" si="118"/>
        <v/>
      </c>
      <c r="J1736" s="394" t="str">
        <f t="shared" si="119"/>
        <v/>
      </c>
      <c r="K1736" s="394" t="str">
        <f t="shared" si="120"/>
        <v/>
      </c>
    </row>
    <row r="1737" spans="8:11" x14ac:dyDescent="0.25">
      <c r="H1737" s="394" t="str">
        <f t="shared" si="117"/>
        <v/>
      </c>
      <c r="I1737" s="394" t="str">
        <f t="shared" si="118"/>
        <v/>
      </c>
      <c r="J1737" s="394" t="str">
        <f t="shared" si="119"/>
        <v/>
      </c>
      <c r="K1737" s="394" t="str">
        <f t="shared" si="120"/>
        <v/>
      </c>
    </row>
    <row r="1738" spans="8:11" x14ac:dyDescent="0.25">
      <c r="H1738" s="394" t="str">
        <f t="shared" si="117"/>
        <v/>
      </c>
      <c r="I1738" s="394" t="str">
        <f t="shared" si="118"/>
        <v/>
      </c>
      <c r="J1738" s="394" t="str">
        <f t="shared" si="119"/>
        <v/>
      </c>
      <c r="K1738" s="394" t="str">
        <f t="shared" si="120"/>
        <v/>
      </c>
    </row>
    <row r="1739" spans="8:11" x14ac:dyDescent="0.25">
      <c r="H1739" s="394" t="str">
        <f t="shared" si="117"/>
        <v/>
      </c>
      <c r="I1739" s="394" t="str">
        <f t="shared" si="118"/>
        <v/>
      </c>
      <c r="J1739" s="394" t="str">
        <f t="shared" si="119"/>
        <v/>
      </c>
      <c r="K1739" s="394" t="str">
        <f t="shared" si="120"/>
        <v/>
      </c>
    </row>
    <row r="1740" spans="8:11" x14ac:dyDescent="0.25">
      <c r="H1740" s="394" t="str">
        <f t="shared" si="117"/>
        <v/>
      </c>
      <c r="I1740" s="394" t="str">
        <f t="shared" si="118"/>
        <v/>
      </c>
      <c r="J1740" s="394" t="str">
        <f t="shared" si="119"/>
        <v/>
      </c>
      <c r="K1740" s="394" t="str">
        <f t="shared" si="120"/>
        <v/>
      </c>
    </row>
    <row r="1741" spans="8:11" x14ac:dyDescent="0.25">
      <c r="H1741" s="394" t="str">
        <f t="shared" si="117"/>
        <v/>
      </c>
      <c r="I1741" s="394" t="str">
        <f t="shared" si="118"/>
        <v/>
      </c>
      <c r="J1741" s="394" t="str">
        <f t="shared" si="119"/>
        <v/>
      </c>
      <c r="K1741" s="394" t="str">
        <f t="shared" si="120"/>
        <v/>
      </c>
    </row>
    <row r="1742" spans="8:11" x14ac:dyDescent="0.25">
      <c r="H1742" s="394" t="str">
        <f t="shared" si="117"/>
        <v/>
      </c>
      <c r="I1742" s="394" t="str">
        <f t="shared" si="118"/>
        <v/>
      </c>
      <c r="J1742" s="394" t="str">
        <f t="shared" si="119"/>
        <v/>
      </c>
      <c r="K1742" s="394" t="str">
        <f t="shared" si="120"/>
        <v/>
      </c>
    </row>
    <row r="1743" spans="8:11" x14ac:dyDescent="0.25">
      <c r="H1743" s="394" t="str">
        <f t="shared" si="117"/>
        <v/>
      </c>
      <c r="I1743" s="394" t="str">
        <f t="shared" si="118"/>
        <v/>
      </c>
      <c r="J1743" s="394" t="str">
        <f t="shared" si="119"/>
        <v/>
      </c>
      <c r="K1743" s="394" t="str">
        <f t="shared" si="120"/>
        <v/>
      </c>
    </row>
    <row r="1744" spans="8:11" x14ac:dyDescent="0.25">
      <c r="H1744" s="394" t="str">
        <f t="shared" si="117"/>
        <v/>
      </c>
      <c r="I1744" s="394" t="str">
        <f t="shared" si="118"/>
        <v/>
      </c>
      <c r="J1744" s="394" t="str">
        <f t="shared" si="119"/>
        <v/>
      </c>
      <c r="K1744" s="394" t="str">
        <f t="shared" si="120"/>
        <v/>
      </c>
    </row>
    <row r="1745" spans="8:11" x14ac:dyDescent="0.25">
      <c r="H1745" s="394" t="str">
        <f t="shared" si="117"/>
        <v/>
      </c>
      <c r="I1745" s="394" t="str">
        <f t="shared" si="118"/>
        <v/>
      </c>
      <c r="J1745" s="394" t="str">
        <f t="shared" si="119"/>
        <v/>
      </c>
      <c r="K1745" s="394" t="str">
        <f t="shared" si="120"/>
        <v/>
      </c>
    </row>
    <row r="1746" spans="8:11" x14ac:dyDescent="0.25">
      <c r="H1746" s="394" t="str">
        <f t="shared" si="117"/>
        <v/>
      </c>
      <c r="I1746" s="394" t="str">
        <f t="shared" si="118"/>
        <v/>
      </c>
      <c r="J1746" s="394" t="str">
        <f t="shared" si="119"/>
        <v/>
      </c>
      <c r="K1746" s="394" t="str">
        <f t="shared" si="120"/>
        <v/>
      </c>
    </row>
    <row r="1747" spans="8:11" x14ac:dyDescent="0.25">
      <c r="H1747" s="394" t="str">
        <f t="shared" si="117"/>
        <v/>
      </c>
      <c r="I1747" s="394" t="str">
        <f t="shared" si="118"/>
        <v/>
      </c>
      <c r="J1747" s="394" t="str">
        <f t="shared" si="119"/>
        <v/>
      </c>
      <c r="K1747" s="394" t="str">
        <f t="shared" si="120"/>
        <v/>
      </c>
    </row>
    <row r="1748" spans="8:11" x14ac:dyDescent="0.25">
      <c r="H1748" s="394" t="str">
        <f t="shared" si="117"/>
        <v/>
      </c>
      <c r="I1748" s="394" t="str">
        <f t="shared" si="118"/>
        <v/>
      </c>
      <c r="J1748" s="394" t="str">
        <f t="shared" si="119"/>
        <v/>
      </c>
      <c r="K1748" s="394" t="str">
        <f t="shared" si="120"/>
        <v/>
      </c>
    </row>
    <row r="1749" spans="8:11" x14ac:dyDescent="0.25">
      <c r="H1749" s="394" t="str">
        <f t="shared" si="117"/>
        <v/>
      </c>
      <c r="I1749" s="394" t="str">
        <f t="shared" si="118"/>
        <v/>
      </c>
      <c r="J1749" s="394" t="str">
        <f t="shared" si="119"/>
        <v/>
      </c>
      <c r="K1749" s="394" t="str">
        <f t="shared" si="120"/>
        <v/>
      </c>
    </row>
    <row r="1750" spans="8:11" x14ac:dyDescent="0.25">
      <c r="H1750" s="394" t="str">
        <f t="shared" si="117"/>
        <v/>
      </c>
      <c r="I1750" s="394" t="str">
        <f t="shared" si="118"/>
        <v/>
      </c>
      <c r="J1750" s="394" t="str">
        <f t="shared" si="119"/>
        <v/>
      </c>
      <c r="K1750" s="394" t="str">
        <f t="shared" si="120"/>
        <v/>
      </c>
    </row>
    <row r="1751" spans="8:11" x14ac:dyDescent="0.25">
      <c r="H1751" s="394" t="str">
        <f t="shared" si="117"/>
        <v/>
      </c>
      <c r="I1751" s="394" t="str">
        <f t="shared" si="118"/>
        <v/>
      </c>
      <c r="J1751" s="394" t="str">
        <f t="shared" si="119"/>
        <v/>
      </c>
      <c r="K1751" s="394" t="str">
        <f t="shared" si="120"/>
        <v/>
      </c>
    </row>
    <row r="1752" spans="8:11" x14ac:dyDescent="0.25">
      <c r="H1752" s="394" t="str">
        <f t="shared" si="117"/>
        <v/>
      </c>
      <c r="I1752" s="394" t="str">
        <f t="shared" si="118"/>
        <v/>
      </c>
      <c r="J1752" s="394" t="str">
        <f t="shared" si="119"/>
        <v/>
      </c>
      <c r="K1752" s="394" t="str">
        <f t="shared" si="120"/>
        <v/>
      </c>
    </row>
    <row r="1753" spans="8:11" x14ac:dyDescent="0.25">
      <c r="H1753" s="394" t="str">
        <f t="shared" si="117"/>
        <v/>
      </c>
      <c r="I1753" s="394" t="str">
        <f t="shared" si="118"/>
        <v/>
      </c>
      <c r="J1753" s="394" t="str">
        <f t="shared" si="119"/>
        <v/>
      </c>
      <c r="K1753" s="394" t="str">
        <f t="shared" si="120"/>
        <v/>
      </c>
    </row>
    <row r="1754" spans="8:11" x14ac:dyDescent="0.25">
      <c r="H1754" s="394" t="str">
        <f t="shared" si="117"/>
        <v/>
      </c>
      <c r="I1754" s="394" t="str">
        <f t="shared" si="118"/>
        <v/>
      </c>
      <c r="J1754" s="394" t="str">
        <f t="shared" si="119"/>
        <v/>
      </c>
      <c r="K1754" s="394" t="str">
        <f t="shared" si="120"/>
        <v/>
      </c>
    </row>
    <row r="1755" spans="8:11" x14ac:dyDescent="0.25">
      <c r="H1755" s="394" t="str">
        <f t="shared" si="117"/>
        <v/>
      </c>
      <c r="I1755" s="394" t="str">
        <f t="shared" si="118"/>
        <v/>
      </c>
      <c r="J1755" s="394" t="str">
        <f t="shared" si="119"/>
        <v/>
      </c>
      <c r="K1755" s="394" t="str">
        <f t="shared" si="120"/>
        <v/>
      </c>
    </row>
    <row r="1756" spans="8:11" x14ac:dyDescent="0.25">
      <c r="H1756" s="394" t="str">
        <f t="shared" si="117"/>
        <v/>
      </c>
      <c r="I1756" s="394" t="str">
        <f t="shared" si="118"/>
        <v/>
      </c>
      <c r="J1756" s="394" t="str">
        <f t="shared" si="119"/>
        <v/>
      </c>
      <c r="K1756" s="394" t="str">
        <f t="shared" si="120"/>
        <v/>
      </c>
    </row>
    <row r="1757" spans="8:11" x14ac:dyDescent="0.25">
      <c r="H1757" s="394" t="str">
        <f t="shared" si="117"/>
        <v/>
      </c>
      <c r="I1757" s="394" t="str">
        <f t="shared" si="118"/>
        <v/>
      </c>
      <c r="J1757" s="394" t="str">
        <f t="shared" si="119"/>
        <v/>
      </c>
      <c r="K1757" s="394" t="str">
        <f t="shared" si="120"/>
        <v/>
      </c>
    </row>
    <row r="1758" spans="8:11" x14ac:dyDescent="0.25">
      <c r="H1758" s="394" t="str">
        <f t="shared" si="117"/>
        <v/>
      </c>
      <c r="I1758" s="394" t="str">
        <f t="shared" si="118"/>
        <v/>
      </c>
      <c r="J1758" s="394" t="str">
        <f t="shared" si="119"/>
        <v/>
      </c>
      <c r="K1758" s="394" t="str">
        <f t="shared" si="120"/>
        <v/>
      </c>
    </row>
    <row r="1759" spans="8:11" x14ac:dyDescent="0.25">
      <c r="H1759" s="394" t="str">
        <f t="shared" si="117"/>
        <v/>
      </c>
      <c r="I1759" s="394" t="str">
        <f t="shared" si="118"/>
        <v/>
      </c>
      <c r="J1759" s="394" t="str">
        <f t="shared" si="119"/>
        <v/>
      </c>
      <c r="K1759" s="394" t="str">
        <f t="shared" si="120"/>
        <v/>
      </c>
    </row>
    <row r="1760" spans="8:11" x14ac:dyDescent="0.25">
      <c r="H1760" s="394" t="str">
        <f t="shared" si="117"/>
        <v/>
      </c>
      <c r="I1760" s="394" t="str">
        <f t="shared" si="118"/>
        <v/>
      </c>
      <c r="J1760" s="394" t="str">
        <f t="shared" si="119"/>
        <v/>
      </c>
      <c r="K1760" s="394" t="str">
        <f t="shared" si="120"/>
        <v/>
      </c>
    </row>
    <row r="1761" spans="8:11" x14ac:dyDescent="0.25">
      <c r="H1761" s="394" t="str">
        <f t="shared" si="117"/>
        <v/>
      </c>
      <c r="I1761" s="394" t="str">
        <f t="shared" si="118"/>
        <v/>
      </c>
      <c r="J1761" s="394" t="str">
        <f t="shared" si="119"/>
        <v/>
      </c>
      <c r="K1761" s="394" t="str">
        <f t="shared" si="120"/>
        <v/>
      </c>
    </row>
    <row r="1762" spans="8:11" x14ac:dyDescent="0.25">
      <c r="H1762" s="394" t="str">
        <f t="shared" si="117"/>
        <v/>
      </c>
      <c r="I1762" s="394" t="str">
        <f t="shared" si="118"/>
        <v/>
      </c>
      <c r="J1762" s="394" t="str">
        <f t="shared" si="119"/>
        <v/>
      </c>
      <c r="K1762" s="394" t="str">
        <f t="shared" si="120"/>
        <v/>
      </c>
    </row>
    <row r="1763" spans="8:11" x14ac:dyDescent="0.25">
      <c r="H1763" s="394" t="str">
        <f t="shared" si="117"/>
        <v/>
      </c>
      <c r="I1763" s="394" t="str">
        <f t="shared" si="118"/>
        <v/>
      </c>
      <c r="J1763" s="394" t="str">
        <f t="shared" si="119"/>
        <v/>
      </c>
      <c r="K1763" s="394" t="str">
        <f t="shared" si="120"/>
        <v/>
      </c>
    </row>
    <row r="1764" spans="8:11" x14ac:dyDescent="0.25">
      <c r="H1764" s="394" t="str">
        <f t="shared" si="117"/>
        <v/>
      </c>
      <c r="I1764" s="394" t="str">
        <f t="shared" si="118"/>
        <v/>
      </c>
      <c r="J1764" s="394" t="str">
        <f t="shared" si="119"/>
        <v/>
      </c>
      <c r="K1764" s="394" t="str">
        <f t="shared" si="120"/>
        <v/>
      </c>
    </row>
    <row r="1765" spans="8:11" x14ac:dyDescent="0.25">
      <c r="H1765" s="394" t="str">
        <f t="shared" si="117"/>
        <v/>
      </c>
      <c r="I1765" s="394" t="str">
        <f t="shared" si="118"/>
        <v/>
      </c>
      <c r="J1765" s="394" t="str">
        <f t="shared" si="119"/>
        <v/>
      </c>
      <c r="K1765" s="394" t="str">
        <f t="shared" si="120"/>
        <v/>
      </c>
    </row>
    <row r="1766" spans="8:11" x14ac:dyDescent="0.25">
      <c r="H1766" s="394" t="str">
        <f t="shared" si="117"/>
        <v/>
      </c>
      <c r="I1766" s="394" t="str">
        <f t="shared" si="118"/>
        <v/>
      </c>
      <c r="J1766" s="394" t="str">
        <f t="shared" si="119"/>
        <v/>
      </c>
      <c r="K1766" s="394" t="str">
        <f t="shared" si="120"/>
        <v/>
      </c>
    </row>
    <row r="1767" spans="8:11" x14ac:dyDescent="0.25">
      <c r="H1767" s="394" t="str">
        <f t="shared" si="117"/>
        <v/>
      </c>
      <c r="I1767" s="394" t="str">
        <f t="shared" si="118"/>
        <v/>
      </c>
      <c r="J1767" s="394" t="str">
        <f t="shared" si="119"/>
        <v/>
      </c>
      <c r="K1767" s="394" t="str">
        <f t="shared" si="120"/>
        <v/>
      </c>
    </row>
    <row r="1768" spans="8:11" x14ac:dyDescent="0.25">
      <c r="H1768" s="394" t="str">
        <f t="shared" si="117"/>
        <v/>
      </c>
      <c r="I1768" s="394" t="str">
        <f t="shared" si="118"/>
        <v/>
      </c>
      <c r="J1768" s="394" t="str">
        <f t="shared" si="119"/>
        <v/>
      </c>
      <c r="K1768" s="394" t="str">
        <f t="shared" si="120"/>
        <v/>
      </c>
    </row>
    <row r="1769" spans="8:11" x14ac:dyDescent="0.25">
      <c r="H1769" s="394" t="str">
        <f t="shared" ref="H1769:H1832" si="121">IF($C791="","",ROUND(($B$2*$F791*($B$5/1000))/$B$6,2))</f>
        <v/>
      </c>
      <c r="I1769" s="394" t="str">
        <f t="shared" ref="I1769:I1832" si="122">IF($C791="","",ROUND(($B$3*$F791*($B$5/1000))/$B$6,2))</f>
        <v/>
      </c>
      <c r="J1769" s="394" t="str">
        <f t="shared" ref="J1769:J1832" si="123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4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1"/>
        <v/>
      </c>
      <c r="I1770" s="394" t="str">
        <f t="shared" si="122"/>
        <v/>
      </c>
      <c r="J1770" s="394" t="str">
        <f t="shared" si="123"/>
        <v/>
      </c>
      <c r="K1770" s="394" t="str">
        <f t="shared" si="124"/>
        <v/>
      </c>
    </row>
    <row r="1771" spans="8:11" x14ac:dyDescent="0.25">
      <c r="H1771" s="394" t="str">
        <f t="shared" si="121"/>
        <v/>
      </c>
      <c r="I1771" s="394" t="str">
        <f t="shared" si="122"/>
        <v/>
      </c>
      <c r="J1771" s="394" t="str">
        <f t="shared" si="123"/>
        <v/>
      </c>
      <c r="K1771" s="394" t="str">
        <f t="shared" si="124"/>
        <v/>
      </c>
    </row>
    <row r="1772" spans="8:11" x14ac:dyDescent="0.25">
      <c r="H1772" s="394" t="str">
        <f t="shared" si="121"/>
        <v/>
      </c>
      <c r="I1772" s="394" t="str">
        <f t="shared" si="122"/>
        <v/>
      </c>
      <c r="J1772" s="394" t="str">
        <f t="shared" si="123"/>
        <v/>
      </c>
      <c r="K1772" s="394" t="str">
        <f t="shared" si="124"/>
        <v/>
      </c>
    </row>
    <row r="1773" spans="8:11" x14ac:dyDescent="0.25">
      <c r="H1773" s="394" t="str">
        <f t="shared" si="121"/>
        <v/>
      </c>
      <c r="I1773" s="394" t="str">
        <f t="shared" si="122"/>
        <v/>
      </c>
      <c r="J1773" s="394" t="str">
        <f t="shared" si="123"/>
        <v/>
      </c>
      <c r="K1773" s="394" t="str">
        <f t="shared" si="124"/>
        <v/>
      </c>
    </row>
    <row r="1774" spans="8:11" x14ac:dyDescent="0.25">
      <c r="H1774" s="394" t="str">
        <f t="shared" si="121"/>
        <v/>
      </c>
      <c r="I1774" s="394" t="str">
        <f t="shared" si="122"/>
        <v/>
      </c>
      <c r="J1774" s="394" t="str">
        <f t="shared" si="123"/>
        <v/>
      </c>
      <c r="K1774" s="394" t="str">
        <f t="shared" si="124"/>
        <v/>
      </c>
    </row>
    <row r="1775" spans="8:11" x14ac:dyDescent="0.25">
      <c r="H1775" s="394" t="str">
        <f t="shared" si="121"/>
        <v/>
      </c>
      <c r="I1775" s="394" t="str">
        <f t="shared" si="122"/>
        <v/>
      </c>
      <c r="J1775" s="394" t="str">
        <f t="shared" si="123"/>
        <v/>
      </c>
      <c r="K1775" s="394" t="str">
        <f t="shared" si="124"/>
        <v/>
      </c>
    </row>
    <row r="1776" spans="8:11" x14ac:dyDescent="0.25">
      <c r="H1776" s="394" t="str">
        <f t="shared" si="121"/>
        <v/>
      </c>
      <c r="I1776" s="394" t="str">
        <f t="shared" si="122"/>
        <v/>
      </c>
      <c r="J1776" s="394" t="str">
        <f t="shared" si="123"/>
        <v/>
      </c>
      <c r="K1776" s="394" t="str">
        <f t="shared" si="124"/>
        <v/>
      </c>
    </row>
    <row r="1777" spans="8:11" x14ac:dyDescent="0.25">
      <c r="H1777" s="394" t="str">
        <f t="shared" si="121"/>
        <v/>
      </c>
      <c r="I1777" s="394" t="str">
        <f t="shared" si="122"/>
        <v/>
      </c>
      <c r="J1777" s="394" t="str">
        <f t="shared" si="123"/>
        <v/>
      </c>
      <c r="K1777" s="394" t="str">
        <f t="shared" si="124"/>
        <v/>
      </c>
    </row>
    <row r="1778" spans="8:11" x14ac:dyDescent="0.25">
      <c r="H1778" s="394" t="str">
        <f t="shared" si="121"/>
        <v/>
      </c>
      <c r="I1778" s="394" t="str">
        <f t="shared" si="122"/>
        <v/>
      </c>
      <c r="J1778" s="394" t="str">
        <f t="shared" si="123"/>
        <v/>
      </c>
      <c r="K1778" s="394" t="str">
        <f t="shared" si="124"/>
        <v/>
      </c>
    </row>
    <row r="1779" spans="8:11" x14ac:dyDescent="0.25">
      <c r="H1779" s="394" t="str">
        <f t="shared" si="121"/>
        <v/>
      </c>
      <c r="I1779" s="394" t="str">
        <f t="shared" si="122"/>
        <v/>
      </c>
      <c r="J1779" s="394" t="str">
        <f t="shared" si="123"/>
        <v/>
      </c>
      <c r="K1779" s="394" t="str">
        <f t="shared" si="124"/>
        <v/>
      </c>
    </row>
    <row r="1780" spans="8:11" x14ac:dyDescent="0.25">
      <c r="H1780" s="394" t="str">
        <f t="shared" si="121"/>
        <v/>
      </c>
      <c r="I1780" s="394" t="str">
        <f t="shared" si="122"/>
        <v/>
      </c>
      <c r="J1780" s="394" t="str">
        <f t="shared" si="123"/>
        <v/>
      </c>
      <c r="K1780" s="394" t="str">
        <f t="shared" si="124"/>
        <v/>
      </c>
    </row>
    <row r="1781" spans="8:11" x14ac:dyDescent="0.25">
      <c r="H1781" s="394" t="str">
        <f t="shared" si="121"/>
        <v/>
      </c>
      <c r="I1781" s="394" t="str">
        <f t="shared" si="122"/>
        <v/>
      </c>
      <c r="J1781" s="394" t="str">
        <f t="shared" si="123"/>
        <v/>
      </c>
      <c r="K1781" s="394" t="str">
        <f t="shared" si="124"/>
        <v/>
      </c>
    </row>
    <row r="1782" spans="8:11" x14ac:dyDescent="0.25">
      <c r="H1782" s="394" t="str">
        <f t="shared" si="121"/>
        <v/>
      </c>
      <c r="I1782" s="394" t="str">
        <f t="shared" si="122"/>
        <v/>
      </c>
      <c r="J1782" s="394" t="str">
        <f t="shared" si="123"/>
        <v/>
      </c>
      <c r="K1782" s="394" t="str">
        <f t="shared" si="124"/>
        <v/>
      </c>
    </row>
    <row r="1783" spans="8:11" x14ac:dyDescent="0.25">
      <c r="H1783" s="394" t="str">
        <f t="shared" si="121"/>
        <v/>
      </c>
      <c r="I1783" s="394" t="str">
        <f t="shared" si="122"/>
        <v/>
      </c>
      <c r="J1783" s="394" t="str">
        <f t="shared" si="123"/>
        <v/>
      </c>
      <c r="K1783" s="394" t="str">
        <f t="shared" si="124"/>
        <v/>
      </c>
    </row>
    <row r="1784" spans="8:11" x14ac:dyDescent="0.25">
      <c r="H1784" s="394" t="str">
        <f t="shared" si="121"/>
        <v/>
      </c>
      <c r="I1784" s="394" t="str">
        <f t="shared" si="122"/>
        <v/>
      </c>
      <c r="J1784" s="394" t="str">
        <f t="shared" si="123"/>
        <v/>
      </c>
      <c r="K1784" s="394" t="str">
        <f t="shared" si="124"/>
        <v/>
      </c>
    </row>
    <row r="1785" spans="8:11" x14ac:dyDescent="0.25">
      <c r="H1785" s="394" t="str">
        <f t="shared" si="121"/>
        <v/>
      </c>
      <c r="I1785" s="394" t="str">
        <f t="shared" si="122"/>
        <v/>
      </c>
      <c r="J1785" s="394" t="str">
        <f t="shared" si="123"/>
        <v/>
      </c>
      <c r="K1785" s="394" t="str">
        <f t="shared" si="124"/>
        <v/>
      </c>
    </row>
    <row r="1786" spans="8:11" x14ac:dyDescent="0.25">
      <c r="H1786" s="394" t="str">
        <f t="shared" si="121"/>
        <v/>
      </c>
      <c r="I1786" s="394" t="str">
        <f t="shared" si="122"/>
        <v/>
      </c>
      <c r="J1786" s="394" t="str">
        <f t="shared" si="123"/>
        <v/>
      </c>
      <c r="K1786" s="394" t="str">
        <f t="shared" si="124"/>
        <v/>
      </c>
    </row>
    <row r="1787" spans="8:11" x14ac:dyDescent="0.25">
      <c r="H1787" s="394" t="str">
        <f t="shared" si="121"/>
        <v/>
      </c>
      <c r="I1787" s="394" t="str">
        <f t="shared" si="122"/>
        <v/>
      </c>
      <c r="J1787" s="394" t="str">
        <f t="shared" si="123"/>
        <v/>
      </c>
      <c r="K1787" s="394" t="str">
        <f t="shared" si="124"/>
        <v/>
      </c>
    </row>
    <row r="1788" spans="8:11" x14ac:dyDescent="0.25">
      <c r="H1788" s="394" t="str">
        <f t="shared" si="121"/>
        <v/>
      </c>
      <c r="I1788" s="394" t="str">
        <f t="shared" si="122"/>
        <v/>
      </c>
      <c r="J1788" s="394" t="str">
        <f t="shared" si="123"/>
        <v/>
      </c>
      <c r="K1788" s="394" t="str">
        <f t="shared" si="124"/>
        <v/>
      </c>
    </row>
    <row r="1789" spans="8:11" x14ac:dyDescent="0.25">
      <c r="H1789" s="394" t="str">
        <f t="shared" si="121"/>
        <v/>
      </c>
      <c r="I1789" s="394" t="str">
        <f t="shared" si="122"/>
        <v/>
      </c>
      <c r="J1789" s="394" t="str">
        <f t="shared" si="123"/>
        <v/>
      </c>
      <c r="K1789" s="394" t="str">
        <f t="shared" si="124"/>
        <v/>
      </c>
    </row>
    <row r="1790" spans="8:11" x14ac:dyDescent="0.25">
      <c r="H1790" s="394" t="str">
        <f t="shared" si="121"/>
        <v/>
      </c>
      <c r="I1790" s="394" t="str">
        <f t="shared" si="122"/>
        <v/>
      </c>
      <c r="J1790" s="394" t="str">
        <f t="shared" si="123"/>
        <v/>
      </c>
      <c r="K1790" s="394" t="str">
        <f t="shared" si="124"/>
        <v/>
      </c>
    </row>
    <row r="1791" spans="8:11" x14ac:dyDescent="0.25">
      <c r="H1791" s="394" t="str">
        <f t="shared" si="121"/>
        <v/>
      </c>
      <c r="I1791" s="394" t="str">
        <f t="shared" si="122"/>
        <v/>
      </c>
      <c r="J1791" s="394" t="str">
        <f t="shared" si="123"/>
        <v/>
      </c>
      <c r="K1791" s="394" t="str">
        <f t="shared" si="124"/>
        <v/>
      </c>
    </row>
    <row r="1792" spans="8:11" x14ac:dyDescent="0.25">
      <c r="H1792" s="394" t="str">
        <f t="shared" si="121"/>
        <v/>
      </c>
      <c r="I1792" s="394" t="str">
        <f t="shared" si="122"/>
        <v/>
      </c>
      <c r="J1792" s="394" t="str">
        <f t="shared" si="123"/>
        <v/>
      </c>
      <c r="K1792" s="394" t="str">
        <f t="shared" si="124"/>
        <v/>
      </c>
    </row>
    <row r="1793" spans="8:11" x14ac:dyDescent="0.25">
      <c r="H1793" s="394" t="str">
        <f t="shared" si="121"/>
        <v/>
      </c>
      <c r="I1793" s="394" t="str">
        <f t="shared" si="122"/>
        <v/>
      </c>
      <c r="J1793" s="394" t="str">
        <f t="shared" si="123"/>
        <v/>
      </c>
      <c r="K1793" s="394" t="str">
        <f t="shared" si="124"/>
        <v/>
      </c>
    </row>
    <row r="1794" spans="8:11" x14ac:dyDescent="0.25">
      <c r="H1794" s="394" t="str">
        <f t="shared" si="121"/>
        <v/>
      </c>
      <c r="I1794" s="394" t="str">
        <f t="shared" si="122"/>
        <v/>
      </c>
      <c r="J1794" s="394" t="str">
        <f t="shared" si="123"/>
        <v/>
      </c>
      <c r="K1794" s="394" t="str">
        <f t="shared" si="124"/>
        <v/>
      </c>
    </row>
    <row r="1795" spans="8:11" x14ac:dyDescent="0.25">
      <c r="H1795" s="394" t="str">
        <f t="shared" si="121"/>
        <v/>
      </c>
      <c r="I1795" s="394" t="str">
        <f t="shared" si="122"/>
        <v/>
      </c>
      <c r="J1795" s="394" t="str">
        <f t="shared" si="123"/>
        <v/>
      </c>
      <c r="K1795" s="394" t="str">
        <f t="shared" si="124"/>
        <v/>
      </c>
    </row>
    <row r="1796" spans="8:11" x14ac:dyDescent="0.25">
      <c r="H1796" s="394" t="str">
        <f t="shared" si="121"/>
        <v/>
      </c>
      <c r="I1796" s="394" t="str">
        <f t="shared" si="122"/>
        <v/>
      </c>
      <c r="J1796" s="394" t="str">
        <f t="shared" si="123"/>
        <v/>
      </c>
      <c r="K1796" s="394" t="str">
        <f t="shared" si="124"/>
        <v/>
      </c>
    </row>
    <row r="1797" spans="8:11" x14ac:dyDescent="0.25">
      <c r="H1797" s="394" t="str">
        <f t="shared" si="121"/>
        <v/>
      </c>
      <c r="I1797" s="394" t="str">
        <f t="shared" si="122"/>
        <v/>
      </c>
      <c r="J1797" s="394" t="str">
        <f t="shared" si="123"/>
        <v/>
      </c>
      <c r="K1797" s="394" t="str">
        <f t="shared" si="124"/>
        <v/>
      </c>
    </row>
    <row r="1798" spans="8:11" x14ac:dyDescent="0.25">
      <c r="H1798" s="394" t="str">
        <f t="shared" si="121"/>
        <v/>
      </c>
      <c r="I1798" s="394" t="str">
        <f t="shared" si="122"/>
        <v/>
      </c>
      <c r="J1798" s="394" t="str">
        <f t="shared" si="123"/>
        <v/>
      </c>
      <c r="K1798" s="394" t="str">
        <f t="shared" si="124"/>
        <v/>
      </c>
    </row>
    <row r="1799" spans="8:11" x14ac:dyDescent="0.25">
      <c r="H1799" s="394" t="str">
        <f t="shared" si="121"/>
        <v/>
      </c>
      <c r="I1799" s="394" t="str">
        <f t="shared" si="122"/>
        <v/>
      </c>
      <c r="J1799" s="394" t="str">
        <f t="shared" si="123"/>
        <v/>
      </c>
      <c r="K1799" s="394" t="str">
        <f t="shared" si="124"/>
        <v/>
      </c>
    </row>
    <row r="1800" spans="8:11" x14ac:dyDescent="0.25">
      <c r="H1800" s="394" t="str">
        <f t="shared" si="121"/>
        <v/>
      </c>
      <c r="I1800" s="394" t="str">
        <f t="shared" si="122"/>
        <v/>
      </c>
      <c r="J1800" s="394" t="str">
        <f t="shared" si="123"/>
        <v/>
      </c>
      <c r="K1800" s="394" t="str">
        <f t="shared" si="124"/>
        <v/>
      </c>
    </row>
    <row r="1801" spans="8:11" x14ac:dyDescent="0.25">
      <c r="H1801" s="394" t="str">
        <f t="shared" si="121"/>
        <v/>
      </c>
      <c r="I1801" s="394" t="str">
        <f t="shared" si="122"/>
        <v/>
      </c>
      <c r="J1801" s="394" t="str">
        <f t="shared" si="123"/>
        <v/>
      </c>
      <c r="K1801" s="394" t="str">
        <f t="shared" si="124"/>
        <v/>
      </c>
    </row>
    <row r="1802" spans="8:11" x14ac:dyDescent="0.25">
      <c r="H1802" s="394" t="str">
        <f t="shared" si="121"/>
        <v/>
      </c>
      <c r="I1802" s="394" t="str">
        <f t="shared" si="122"/>
        <v/>
      </c>
      <c r="J1802" s="394" t="str">
        <f t="shared" si="123"/>
        <v/>
      </c>
      <c r="K1802" s="394" t="str">
        <f t="shared" si="124"/>
        <v/>
      </c>
    </row>
    <row r="1803" spans="8:11" x14ac:dyDescent="0.25">
      <c r="H1803" s="394" t="str">
        <f t="shared" si="121"/>
        <v/>
      </c>
      <c r="I1803" s="394" t="str">
        <f t="shared" si="122"/>
        <v/>
      </c>
      <c r="J1803" s="394" t="str">
        <f t="shared" si="123"/>
        <v/>
      </c>
      <c r="K1803" s="394" t="str">
        <f t="shared" si="124"/>
        <v/>
      </c>
    </row>
    <row r="1804" spans="8:11" x14ac:dyDescent="0.25">
      <c r="H1804" s="394" t="str">
        <f t="shared" si="121"/>
        <v/>
      </c>
      <c r="I1804" s="394" t="str">
        <f t="shared" si="122"/>
        <v/>
      </c>
      <c r="J1804" s="394" t="str">
        <f t="shared" si="123"/>
        <v/>
      </c>
      <c r="K1804" s="394" t="str">
        <f t="shared" si="124"/>
        <v/>
      </c>
    </row>
    <row r="1805" spans="8:11" x14ac:dyDescent="0.25">
      <c r="H1805" s="394" t="str">
        <f t="shared" si="121"/>
        <v/>
      </c>
      <c r="I1805" s="394" t="str">
        <f t="shared" si="122"/>
        <v/>
      </c>
      <c r="J1805" s="394" t="str">
        <f t="shared" si="123"/>
        <v/>
      </c>
      <c r="K1805" s="394" t="str">
        <f t="shared" si="124"/>
        <v/>
      </c>
    </row>
    <row r="1806" spans="8:11" x14ac:dyDescent="0.25">
      <c r="H1806" s="394" t="str">
        <f t="shared" si="121"/>
        <v/>
      </c>
      <c r="I1806" s="394" t="str">
        <f t="shared" si="122"/>
        <v/>
      </c>
      <c r="J1806" s="394" t="str">
        <f t="shared" si="123"/>
        <v/>
      </c>
      <c r="K1806" s="394" t="str">
        <f t="shared" si="124"/>
        <v/>
      </c>
    </row>
    <row r="1807" spans="8:11" x14ac:dyDescent="0.25">
      <c r="H1807" s="394" t="str">
        <f t="shared" si="121"/>
        <v/>
      </c>
      <c r="I1807" s="394" t="str">
        <f t="shared" si="122"/>
        <v/>
      </c>
      <c r="J1807" s="394" t="str">
        <f t="shared" si="123"/>
        <v/>
      </c>
      <c r="K1807" s="394" t="str">
        <f t="shared" si="124"/>
        <v/>
      </c>
    </row>
    <row r="1808" spans="8:11" x14ac:dyDescent="0.25">
      <c r="H1808" s="394" t="str">
        <f t="shared" si="121"/>
        <v/>
      </c>
      <c r="I1808" s="394" t="str">
        <f t="shared" si="122"/>
        <v/>
      </c>
      <c r="J1808" s="394" t="str">
        <f t="shared" si="123"/>
        <v/>
      </c>
      <c r="K1808" s="394" t="str">
        <f t="shared" si="124"/>
        <v/>
      </c>
    </row>
    <row r="1809" spans="8:11" x14ac:dyDescent="0.25">
      <c r="H1809" s="394" t="str">
        <f t="shared" si="121"/>
        <v/>
      </c>
      <c r="I1809" s="394" t="str">
        <f t="shared" si="122"/>
        <v/>
      </c>
      <c r="J1809" s="394" t="str">
        <f t="shared" si="123"/>
        <v/>
      </c>
      <c r="K1809" s="394" t="str">
        <f t="shared" si="124"/>
        <v/>
      </c>
    </row>
    <row r="1810" spans="8:11" x14ac:dyDescent="0.25">
      <c r="H1810" s="394" t="str">
        <f t="shared" si="121"/>
        <v/>
      </c>
      <c r="I1810" s="394" t="str">
        <f t="shared" si="122"/>
        <v/>
      </c>
      <c r="J1810" s="394" t="str">
        <f t="shared" si="123"/>
        <v/>
      </c>
      <c r="K1810" s="394" t="str">
        <f t="shared" si="124"/>
        <v/>
      </c>
    </row>
    <row r="1811" spans="8:11" x14ac:dyDescent="0.25">
      <c r="H1811" s="394" t="str">
        <f t="shared" si="121"/>
        <v/>
      </c>
      <c r="I1811" s="394" t="str">
        <f t="shared" si="122"/>
        <v/>
      </c>
      <c r="J1811" s="394" t="str">
        <f t="shared" si="123"/>
        <v/>
      </c>
      <c r="K1811" s="394" t="str">
        <f t="shared" si="124"/>
        <v/>
      </c>
    </row>
    <row r="1812" spans="8:11" x14ac:dyDescent="0.25">
      <c r="H1812" s="394" t="str">
        <f t="shared" si="121"/>
        <v/>
      </c>
      <c r="I1812" s="394" t="str">
        <f t="shared" si="122"/>
        <v/>
      </c>
      <c r="J1812" s="394" t="str">
        <f t="shared" si="123"/>
        <v/>
      </c>
      <c r="K1812" s="394" t="str">
        <f t="shared" si="124"/>
        <v/>
      </c>
    </row>
    <row r="1813" spans="8:11" x14ac:dyDescent="0.25">
      <c r="H1813" s="394" t="str">
        <f t="shared" si="121"/>
        <v/>
      </c>
      <c r="I1813" s="394" t="str">
        <f t="shared" si="122"/>
        <v/>
      </c>
      <c r="J1813" s="394" t="str">
        <f t="shared" si="123"/>
        <v/>
      </c>
      <c r="K1813" s="394" t="str">
        <f t="shared" si="124"/>
        <v/>
      </c>
    </row>
    <row r="1814" spans="8:11" x14ac:dyDescent="0.25">
      <c r="H1814" s="394" t="str">
        <f t="shared" si="121"/>
        <v/>
      </c>
      <c r="I1814" s="394" t="str">
        <f t="shared" si="122"/>
        <v/>
      </c>
      <c r="J1814" s="394" t="str">
        <f t="shared" si="123"/>
        <v/>
      </c>
      <c r="K1814" s="394" t="str">
        <f t="shared" si="124"/>
        <v/>
      </c>
    </row>
    <row r="1815" spans="8:11" x14ac:dyDescent="0.25">
      <c r="H1815" s="394" t="str">
        <f t="shared" si="121"/>
        <v/>
      </c>
      <c r="I1815" s="394" t="str">
        <f t="shared" si="122"/>
        <v/>
      </c>
      <c r="J1815" s="394" t="str">
        <f t="shared" si="123"/>
        <v/>
      </c>
      <c r="K1815" s="394" t="str">
        <f t="shared" si="124"/>
        <v/>
      </c>
    </row>
    <row r="1816" spans="8:11" x14ac:dyDescent="0.25">
      <c r="H1816" s="394" t="str">
        <f t="shared" si="121"/>
        <v/>
      </c>
      <c r="I1816" s="394" t="str">
        <f t="shared" si="122"/>
        <v/>
      </c>
      <c r="J1816" s="394" t="str">
        <f t="shared" si="123"/>
        <v/>
      </c>
      <c r="K1816" s="394" t="str">
        <f t="shared" si="124"/>
        <v/>
      </c>
    </row>
    <row r="1817" spans="8:11" x14ac:dyDescent="0.25">
      <c r="H1817" s="394" t="str">
        <f t="shared" si="121"/>
        <v/>
      </c>
      <c r="I1817" s="394" t="str">
        <f t="shared" si="122"/>
        <v/>
      </c>
      <c r="J1817" s="394" t="str">
        <f t="shared" si="123"/>
        <v/>
      </c>
      <c r="K1817" s="394" t="str">
        <f t="shared" si="124"/>
        <v/>
      </c>
    </row>
    <row r="1818" spans="8:11" x14ac:dyDescent="0.25">
      <c r="H1818" s="394" t="str">
        <f t="shared" si="121"/>
        <v/>
      </c>
      <c r="I1818" s="394" t="str">
        <f t="shared" si="122"/>
        <v/>
      </c>
      <c r="J1818" s="394" t="str">
        <f t="shared" si="123"/>
        <v/>
      </c>
      <c r="K1818" s="394" t="str">
        <f t="shared" si="124"/>
        <v/>
      </c>
    </row>
    <row r="1819" spans="8:11" x14ac:dyDescent="0.25">
      <c r="H1819" s="394" t="str">
        <f t="shared" si="121"/>
        <v/>
      </c>
      <c r="I1819" s="394" t="str">
        <f t="shared" si="122"/>
        <v/>
      </c>
      <c r="J1819" s="394" t="str">
        <f t="shared" si="123"/>
        <v/>
      </c>
      <c r="K1819" s="394" t="str">
        <f t="shared" si="124"/>
        <v/>
      </c>
    </row>
    <row r="1820" spans="8:11" x14ac:dyDescent="0.25">
      <c r="H1820" s="394" t="str">
        <f t="shared" si="121"/>
        <v/>
      </c>
      <c r="I1820" s="394" t="str">
        <f t="shared" si="122"/>
        <v/>
      </c>
      <c r="J1820" s="394" t="str">
        <f t="shared" si="123"/>
        <v/>
      </c>
      <c r="K1820" s="394" t="str">
        <f t="shared" si="124"/>
        <v/>
      </c>
    </row>
    <row r="1821" spans="8:11" x14ac:dyDescent="0.25">
      <c r="H1821" s="394" t="str">
        <f t="shared" si="121"/>
        <v/>
      </c>
      <c r="I1821" s="394" t="str">
        <f t="shared" si="122"/>
        <v/>
      </c>
      <c r="J1821" s="394" t="str">
        <f t="shared" si="123"/>
        <v/>
      </c>
      <c r="K1821" s="394" t="str">
        <f t="shared" si="124"/>
        <v/>
      </c>
    </row>
    <row r="1822" spans="8:11" x14ac:dyDescent="0.25">
      <c r="H1822" s="394" t="str">
        <f t="shared" si="121"/>
        <v/>
      </c>
      <c r="I1822" s="394" t="str">
        <f t="shared" si="122"/>
        <v/>
      </c>
      <c r="J1822" s="394" t="str">
        <f t="shared" si="123"/>
        <v/>
      </c>
      <c r="K1822" s="394" t="str">
        <f t="shared" si="124"/>
        <v/>
      </c>
    </row>
    <row r="1823" spans="8:11" x14ac:dyDescent="0.25">
      <c r="H1823" s="394" t="str">
        <f t="shared" si="121"/>
        <v/>
      </c>
      <c r="I1823" s="394" t="str">
        <f t="shared" si="122"/>
        <v/>
      </c>
      <c r="J1823" s="394" t="str">
        <f t="shared" si="123"/>
        <v/>
      </c>
      <c r="K1823" s="394" t="str">
        <f t="shared" si="124"/>
        <v/>
      </c>
    </row>
    <row r="1824" spans="8:11" x14ac:dyDescent="0.25">
      <c r="H1824" s="394" t="str">
        <f t="shared" si="121"/>
        <v/>
      </c>
      <c r="I1824" s="394" t="str">
        <f t="shared" si="122"/>
        <v/>
      </c>
      <c r="J1824" s="394" t="str">
        <f t="shared" si="123"/>
        <v/>
      </c>
      <c r="K1824" s="394" t="str">
        <f t="shared" si="124"/>
        <v/>
      </c>
    </row>
    <row r="1825" spans="8:11" x14ac:dyDescent="0.25">
      <c r="H1825" s="394" t="str">
        <f t="shared" si="121"/>
        <v/>
      </c>
      <c r="I1825" s="394" t="str">
        <f t="shared" si="122"/>
        <v/>
      </c>
      <c r="J1825" s="394" t="str">
        <f t="shared" si="123"/>
        <v/>
      </c>
      <c r="K1825" s="394" t="str">
        <f t="shared" si="124"/>
        <v/>
      </c>
    </row>
    <row r="1826" spans="8:11" x14ac:dyDescent="0.25">
      <c r="H1826" s="394" t="str">
        <f t="shared" si="121"/>
        <v/>
      </c>
      <c r="I1826" s="394" t="str">
        <f t="shared" si="122"/>
        <v/>
      </c>
      <c r="J1826" s="394" t="str">
        <f t="shared" si="123"/>
        <v/>
      </c>
      <c r="K1826" s="394" t="str">
        <f t="shared" si="124"/>
        <v/>
      </c>
    </row>
    <row r="1827" spans="8:11" x14ac:dyDescent="0.25">
      <c r="H1827" s="394" t="str">
        <f t="shared" si="121"/>
        <v/>
      </c>
      <c r="I1827" s="394" t="str">
        <f t="shared" si="122"/>
        <v/>
      </c>
      <c r="J1827" s="394" t="str">
        <f t="shared" si="123"/>
        <v/>
      </c>
      <c r="K1827" s="394" t="str">
        <f t="shared" si="124"/>
        <v/>
      </c>
    </row>
    <row r="1828" spans="8:11" x14ac:dyDescent="0.25">
      <c r="H1828" s="394" t="str">
        <f t="shared" si="121"/>
        <v/>
      </c>
      <c r="I1828" s="394" t="str">
        <f t="shared" si="122"/>
        <v/>
      </c>
      <c r="J1828" s="394" t="str">
        <f t="shared" si="123"/>
        <v/>
      </c>
      <c r="K1828" s="394" t="str">
        <f t="shared" si="124"/>
        <v/>
      </c>
    </row>
    <row r="1829" spans="8:11" x14ac:dyDescent="0.25">
      <c r="H1829" s="394" t="str">
        <f t="shared" si="121"/>
        <v/>
      </c>
      <c r="I1829" s="394" t="str">
        <f t="shared" si="122"/>
        <v/>
      </c>
      <c r="J1829" s="394" t="str">
        <f t="shared" si="123"/>
        <v/>
      </c>
      <c r="K1829" s="394" t="str">
        <f t="shared" si="124"/>
        <v/>
      </c>
    </row>
    <row r="1830" spans="8:11" x14ac:dyDescent="0.25">
      <c r="H1830" s="394" t="str">
        <f t="shared" si="121"/>
        <v/>
      </c>
      <c r="I1830" s="394" t="str">
        <f t="shared" si="122"/>
        <v/>
      </c>
      <c r="J1830" s="394" t="str">
        <f t="shared" si="123"/>
        <v/>
      </c>
      <c r="K1830" s="394" t="str">
        <f t="shared" si="124"/>
        <v/>
      </c>
    </row>
    <row r="1831" spans="8:11" x14ac:dyDescent="0.25">
      <c r="H1831" s="394" t="str">
        <f t="shared" si="121"/>
        <v/>
      </c>
      <c r="I1831" s="394" t="str">
        <f t="shared" si="122"/>
        <v/>
      </c>
      <c r="J1831" s="394" t="str">
        <f t="shared" si="123"/>
        <v/>
      </c>
      <c r="K1831" s="394" t="str">
        <f t="shared" si="124"/>
        <v/>
      </c>
    </row>
    <row r="1832" spans="8:11" x14ac:dyDescent="0.25">
      <c r="H1832" s="394" t="str">
        <f t="shared" si="121"/>
        <v/>
      </c>
      <c r="I1832" s="394" t="str">
        <f t="shared" si="122"/>
        <v/>
      </c>
      <c r="J1832" s="394" t="str">
        <f t="shared" si="123"/>
        <v/>
      </c>
      <c r="K1832" s="394" t="str">
        <f t="shared" si="124"/>
        <v/>
      </c>
    </row>
    <row r="1833" spans="8:11" x14ac:dyDescent="0.25">
      <c r="H1833" s="394" t="str">
        <f t="shared" ref="H1833:H1896" si="125">IF($C855="","",ROUND(($B$2*$F855*($B$5/1000))/$B$6,2))</f>
        <v/>
      </c>
      <c r="I1833" s="394" t="str">
        <f t="shared" ref="I1833:I1896" si="126">IF($C855="","",ROUND(($B$3*$F855*($B$5/1000))/$B$6,2))</f>
        <v/>
      </c>
      <c r="J1833" s="394" t="str">
        <f t="shared" ref="J1833:J1896" si="127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28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5"/>
        <v/>
      </c>
      <c r="I1834" s="394" t="str">
        <f t="shared" si="126"/>
        <v/>
      </c>
      <c r="J1834" s="394" t="str">
        <f t="shared" si="127"/>
        <v/>
      </c>
      <c r="K1834" s="394" t="str">
        <f t="shared" si="128"/>
        <v/>
      </c>
    </row>
    <row r="1835" spans="8:11" x14ac:dyDescent="0.25">
      <c r="H1835" s="394" t="str">
        <f t="shared" si="125"/>
        <v/>
      </c>
      <c r="I1835" s="394" t="str">
        <f t="shared" si="126"/>
        <v/>
      </c>
      <c r="J1835" s="394" t="str">
        <f t="shared" si="127"/>
        <v/>
      </c>
      <c r="K1835" s="394" t="str">
        <f t="shared" si="128"/>
        <v/>
      </c>
    </row>
    <row r="1836" spans="8:11" x14ac:dyDescent="0.25">
      <c r="H1836" s="394" t="str">
        <f t="shared" si="125"/>
        <v/>
      </c>
      <c r="I1836" s="394" t="str">
        <f t="shared" si="126"/>
        <v/>
      </c>
      <c r="J1836" s="394" t="str">
        <f t="shared" si="127"/>
        <v/>
      </c>
      <c r="K1836" s="394" t="str">
        <f t="shared" si="128"/>
        <v/>
      </c>
    </row>
    <row r="1837" spans="8:11" x14ac:dyDescent="0.25">
      <c r="H1837" s="394" t="str">
        <f t="shared" si="125"/>
        <v/>
      </c>
      <c r="I1837" s="394" t="str">
        <f t="shared" si="126"/>
        <v/>
      </c>
      <c r="J1837" s="394" t="str">
        <f t="shared" si="127"/>
        <v/>
      </c>
      <c r="K1837" s="394" t="str">
        <f t="shared" si="128"/>
        <v/>
      </c>
    </row>
    <row r="1838" spans="8:11" x14ac:dyDescent="0.25">
      <c r="H1838" s="394" t="str">
        <f t="shared" si="125"/>
        <v/>
      </c>
      <c r="I1838" s="394" t="str">
        <f t="shared" si="126"/>
        <v/>
      </c>
      <c r="J1838" s="394" t="str">
        <f t="shared" si="127"/>
        <v/>
      </c>
      <c r="K1838" s="394" t="str">
        <f t="shared" si="128"/>
        <v/>
      </c>
    </row>
    <row r="1839" spans="8:11" x14ac:dyDescent="0.25">
      <c r="H1839" s="394" t="str">
        <f t="shared" si="125"/>
        <v/>
      </c>
      <c r="I1839" s="394" t="str">
        <f t="shared" si="126"/>
        <v/>
      </c>
      <c r="J1839" s="394" t="str">
        <f t="shared" si="127"/>
        <v/>
      </c>
      <c r="K1839" s="394" t="str">
        <f t="shared" si="128"/>
        <v/>
      </c>
    </row>
    <row r="1840" spans="8:11" x14ac:dyDescent="0.25">
      <c r="H1840" s="394" t="str">
        <f t="shared" si="125"/>
        <v/>
      </c>
      <c r="I1840" s="394" t="str">
        <f t="shared" si="126"/>
        <v/>
      </c>
      <c r="J1840" s="394" t="str">
        <f t="shared" si="127"/>
        <v/>
      </c>
      <c r="K1840" s="394" t="str">
        <f t="shared" si="128"/>
        <v/>
      </c>
    </row>
    <row r="1841" spans="8:11" x14ac:dyDescent="0.25">
      <c r="H1841" s="394" t="str">
        <f t="shared" si="125"/>
        <v/>
      </c>
      <c r="I1841" s="394" t="str">
        <f t="shared" si="126"/>
        <v/>
      </c>
      <c r="J1841" s="394" t="str">
        <f t="shared" si="127"/>
        <v/>
      </c>
      <c r="K1841" s="394" t="str">
        <f t="shared" si="128"/>
        <v/>
      </c>
    </row>
    <row r="1842" spans="8:11" x14ac:dyDescent="0.25">
      <c r="H1842" s="394" t="str">
        <f t="shared" si="125"/>
        <v/>
      </c>
      <c r="I1842" s="394" t="str">
        <f t="shared" si="126"/>
        <v/>
      </c>
      <c r="J1842" s="394" t="str">
        <f t="shared" si="127"/>
        <v/>
      </c>
      <c r="K1842" s="394" t="str">
        <f t="shared" si="128"/>
        <v/>
      </c>
    </row>
    <row r="1843" spans="8:11" x14ac:dyDescent="0.25">
      <c r="H1843" s="394" t="str">
        <f t="shared" si="125"/>
        <v/>
      </c>
      <c r="I1843" s="394" t="str">
        <f t="shared" si="126"/>
        <v/>
      </c>
      <c r="J1843" s="394" t="str">
        <f t="shared" si="127"/>
        <v/>
      </c>
      <c r="K1843" s="394" t="str">
        <f t="shared" si="128"/>
        <v/>
      </c>
    </row>
    <row r="1844" spans="8:11" x14ac:dyDescent="0.25">
      <c r="H1844" s="394" t="str">
        <f t="shared" si="125"/>
        <v/>
      </c>
      <c r="I1844" s="394" t="str">
        <f t="shared" si="126"/>
        <v/>
      </c>
      <c r="J1844" s="394" t="str">
        <f t="shared" si="127"/>
        <v/>
      </c>
      <c r="K1844" s="394" t="str">
        <f t="shared" si="128"/>
        <v/>
      </c>
    </row>
    <row r="1845" spans="8:11" x14ac:dyDescent="0.25">
      <c r="H1845" s="394" t="str">
        <f t="shared" si="125"/>
        <v/>
      </c>
      <c r="I1845" s="394" t="str">
        <f t="shared" si="126"/>
        <v/>
      </c>
      <c r="J1845" s="394" t="str">
        <f t="shared" si="127"/>
        <v/>
      </c>
      <c r="K1845" s="394" t="str">
        <f t="shared" si="128"/>
        <v/>
      </c>
    </row>
    <row r="1846" spans="8:11" x14ac:dyDescent="0.25">
      <c r="H1846" s="394" t="str">
        <f t="shared" si="125"/>
        <v/>
      </c>
      <c r="I1846" s="394" t="str">
        <f t="shared" si="126"/>
        <v/>
      </c>
      <c r="J1846" s="394" t="str">
        <f t="shared" si="127"/>
        <v/>
      </c>
      <c r="K1846" s="394" t="str">
        <f t="shared" si="128"/>
        <v/>
      </c>
    </row>
    <row r="1847" spans="8:11" x14ac:dyDescent="0.25">
      <c r="H1847" s="394" t="str">
        <f t="shared" si="125"/>
        <v/>
      </c>
      <c r="I1847" s="394" t="str">
        <f t="shared" si="126"/>
        <v/>
      </c>
      <c r="J1847" s="394" t="str">
        <f t="shared" si="127"/>
        <v/>
      </c>
      <c r="K1847" s="394" t="str">
        <f t="shared" si="128"/>
        <v/>
      </c>
    </row>
    <row r="1848" spans="8:11" x14ac:dyDescent="0.25">
      <c r="H1848" s="394" t="str">
        <f t="shared" si="125"/>
        <v/>
      </c>
      <c r="I1848" s="394" t="str">
        <f t="shared" si="126"/>
        <v/>
      </c>
      <c r="J1848" s="394" t="str">
        <f t="shared" si="127"/>
        <v/>
      </c>
      <c r="K1848" s="394" t="str">
        <f t="shared" si="128"/>
        <v/>
      </c>
    </row>
    <row r="1849" spans="8:11" x14ac:dyDescent="0.25">
      <c r="H1849" s="394" t="str">
        <f t="shared" si="125"/>
        <v/>
      </c>
      <c r="I1849" s="394" t="str">
        <f t="shared" si="126"/>
        <v/>
      </c>
      <c r="J1849" s="394" t="str">
        <f t="shared" si="127"/>
        <v/>
      </c>
      <c r="K1849" s="394" t="str">
        <f t="shared" si="128"/>
        <v/>
      </c>
    </row>
    <row r="1850" spans="8:11" x14ac:dyDescent="0.25">
      <c r="H1850" s="394" t="str">
        <f t="shared" si="125"/>
        <v/>
      </c>
      <c r="I1850" s="394" t="str">
        <f t="shared" si="126"/>
        <v/>
      </c>
      <c r="J1850" s="394" t="str">
        <f t="shared" si="127"/>
        <v/>
      </c>
      <c r="K1850" s="394" t="str">
        <f t="shared" si="128"/>
        <v/>
      </c>
    </row>
    <row r="1851" spans="8:11" x14ac:dyDescent="0.25">
      <c r="H1851" s="394" t="str">
        <f t="shared" si="125"/>
        <v/>
      </c>
      <c r="I1851" s="394" t="str">
        <f t="shared" si="126"/>
        <v/>
      </c>
      <c r="J1851" s="394" t="str">
        <f t="shared" si="127"/>
        <v/>
      </c>
      <c r="K1851" s="394" t="str">
        <f t="shared" si="128"/>
        <v/>
      </c>
    </row>
    <row r="1852" spans="8:11" x14ac:dyDescent="0.25">
      <c r="H1852" s="394" t="str">
        <f t="shared" si="125"/>
        <v/>
      </c>
      <c r="I1852" s="394" t="str">
        <f t="shared" si="126"/>
        <v/>
      </c>
      <c r="J1852" s="394" t="str">
        <f t="shared" si="127"/>
        <v/>
      </c>
      <c r="K1852" s="394" t="str">
        <f t="shared" si="128"/>
        <v/>
      </c>
    </row>
    <row r="1853" spans="8:11" x14ac:dyDescent="0.25">
      <c r="H1853" s="394" t="str">
        <f t="shared" si="125"/>
        <v/>
      </c>
      <c r="I1853" s="394" t="str">
        <f t="shared" si="126"/>
        <v/>
      </c>
      <c r="J1853" s="394" t="str">
        <f t="shared" si="127"/>
        <v/>
      </c>
      <c r="K1853" s="394" t="str">
        <f t="shared" si="128"/>
        <v/>
      </c>
    </row>
    <row r="1854" spans="8:11" x14ac:dyDescent="0.25">
      <c r="H1854" s="394" t="str">
        <f t="shared" si="125"/>
        <v/>
      </c>
      <c r="I1854" s="394" t="str">
        <f t="shared" si="126"/>
        <v/>
      </c>
      <c r="J1854" s="394" t="str">
        <f t="shared" si="127"/>
        <v/>
      </c>
      <c r="K1854" s="394" t="str">
        <f t="shared" si="128"/>
        <v/>
      </c>
    </row>
    <row r="1855" spans="8:11" x14ac:dyDescent="0.25">
      <c r="H1855" s="394" t="str">
        <f t="shared" si="125"/>
        <v/>
      </c>
      <c r="I1855" s="394" t="str">
        <f t="shared" si="126"/>
        <v/>
      </c>
      <c r="J1855" s="394" t="str">
        <f t="shared" si="127"/>
        <v/>
      </c>
      <c r="K1855" s="394" t="str">
        <f t="shared" si="128"/>
        <v/>
      </c>
    </row>
    <row r="1856" spans="8:11" x14ac:dyDescent="0.25">
      <c r="H1856" s="394" t="str">
        <f t="shared" si="125"/>
        <v/>
      </c>
      <c r="I1856" s="394" t="str">
        <f t="shared" si="126"/>
        <v/>
      </c>
      <c r="J1856" s="394" t="str">
        <f t="shared" si="127"/>
        <v/>
      </c>
      <c r="K1856" s="394" t="str">
        <f t="shared" si="128"/>
        <v/>
      </c>
    </row>
    <row r="1857" spans="8:11" x14ac:dyDescent="0.25">
      <c r="H1857" s="394" t="str">
        <f t="shared" si="125"/>
        <v/>
      </c>
      <c r="I1857" s="394" t="str">
        <f t="shared" si="126"/>
        <v/>
      </c>
      <c r="J1857" s="394" t="str">
        <f t="shared" si="127"/>
        <v/>
      </c>
      <c r="K1857" s="394" t="str">
        <f t="shared" si="128"/>
        <v/>
      </c>
    </row>
    <row r="1858" spans="8:11" x14ac:dyDescent="0.25">
      <c r="H1858" s="394" t="str">
        <f t="shared" si="125"/>
        <v/>
      </c>
      <c r="I1858" s="394" t="str">
        <f t="shared" si="126"/>
        <v/>
      </c>
      <c r="J1858" s="394" t="str">
        <f t="shared" si="127"/>
        <v/>
      </c>
      <c r="K1858" s="394" t="str">
        <f t="shared" si="128"/>
        <v/>
      </c>
    </row>
    <row r="1859" spans="8:11" x14ac:dyDescent="0.25">
      <c r="H1859" s="394" t="str">
        <f t="shared" si="125"/>
        <v/>
      </c>
      <c r="I1859" s="394" t="str">
        <f t="shared" si="126"/>
        <v/>
      </c>
      <c r="J1859" s="394" t="str">
        <f t="shared" si="127"/>
        <v/>
      </c>
      <c r="K1859" s="394" t="str">
        <f t="shared" si="128"/>
        <v/>
      </c>
    </row>
    <row r="1860" spans="8:11" x14ac:dyDescent="0.25">
      <c r="H1860" s="394" t="str">
        <f t="shared" si="125"/>
        <v/>
      </c>
      <c r="I1860" s="394" t="str">
        <f t="shared" si="126"/>
        <v/>
      </c>
      <c r="J1860" s="394" t="str">
        <f t="shared" si="127"/>
        <v/>
      </c>
      <c r="K1860" s="394" t="str">
        <f t="shared" si="128"/>
        <v/>
      </c>
    </row>
    <row r="1861" spans="8:11" x14ac:dyDescent="0.25">
      <c r="H1861" s="394" t="str">
        <f t="shared" si="125"/>
        <v/>
      </c>
      <c r="I1861" s="394" t="str">
        <f t="shared" si="126"/>
        <v/>
      </c>
      <c r="J1861" s="394" t="str">
        <f t="shared" si="127"/>
        <v/>
      </c>
      <c r="K1861" s="394" t="str">
        <f t="shared" si="128"/>
        <v/>
      </c>
    </row>
    <row r="1862" spans="8:11" x14ac:dyDescent="0.25">
      <c r="H1862" s="394" t="str">
        <f t="shared" si="125"/>
        <v/>
      </c>
      <c r="I1862" s="394" t="str">
        <f t="shared" si="126"/>
        <v/>
      </c>
      <c r="J1862" s="394" t="str">
        <f t="shared" si="127"/>
        <v/>
      </c>
      <c r="K1862" s="394" t="str">
        <f t="shared" si="128"/>
        <v/>
      </c>
    </row>
    <row r="1863" spans="8:11" x14ac:dyDescent="0.25">
      <c r="H1863" s="394" t="str">
        <f t="shared" si="125"/>
        <v/>
      </c>
      <c r="I1863" s="394" t="str">
        <f t="shared" si="126"/>
        <v/>
      </c>
      <c r="J1863" s="394" t="str">
        <f t="shared" si="127"/>
        <v/>
      </c>
      <c r="K1863" s="394" t="str">
        <f t="shared" si="128"/>
        <v/>
      </c>
    </row>
    <row r="1864" spans="8:11" x14ac:dyDescent="0.25">
      <c r="H1864" s="394" t="str">
        <f t="shared" si="125"/>
        <v/>
      </c>
      <c r="I1864" s="394" t="str">
        <f t="shared" si="126"/>
        <v/>
      </c>
      <c r="J1864" s="394" t="str">
        <f t="shared" si="127"/>
        <v/>
      </c>
      <c r="K1864" s="394" t="str">
        <f t="shared" si="128"/>
        <v/>
      </c>
    </row>
    <row r="1865" spans="8:11" x14ac:dyDescent="0.25">
      <c r="H1865" s="394" t="str">
        <f t="shared" si="125"/>
        <v/>
      </c>
      <c r="I1865" s="394" t="str">
        <f t="shared" si="126"/>
        <v/>
      </c>
      <c r="J1865" s="394" t="str">
        <f t="shared" si="127"/>
        <v/>
      </c>
      <c r="K1865" s="394" t="str">
        <f t="shared" si="128"/>
        <v/>
      </c>
    </row>
    <row r="1866" spans="8:11" x14ac:dyDescent="0.25">
      <c r="H1866" s="394" t="str">
        <f t="shared" si="125"/>
        <v/>
      </c>
      <c r="I1866" s="394" t="str">
        <f t="shared" si="126"/>
        <v/>
      </c>
      <c r="J1866" s="394" t="str">
        <f t="shared" si="127"/>
        <v/>
      </c>
      <c r="K1866" s="394" t="str">
        <f t="shared" si="128"/>
        <v/>
      </c>
    </row>
    <row r="1867" spans="8:11" x14ac:dyDescent="0.25">
      <c r="H1867" s="394" t="str">
        <f t="shared" si="125"/>
        <v/>
      </c>
      <c r="I1867" s="394" t="str">
        <f t="shared" si="126"/>
        <v/>
      </c>
      <c r="J1867" s="394" t="str">
        <f t="shared" si="127"/>
        <v/>
      </c>
      <c r="K1867" s="394" t="str">
        <f t="shared" si="128"/>
        <v/>
      </c>
    </row>
    <row r="1868" spans="8:11" x14ac:dyDescent="0.25">
      <c r="H1868" s="394" t="str">
        <f t="shared" si="125"/>
        <v/>
      </c>
      <c r="I1868" s="394" t="str">
        <f t="shared" si="126"/>
        <v/>
      </c>
      <c r="J1868" s="394" t="str">
        <f t="shared" si="127"/>
        <v/>
      </c>
      <c r="K1868" s="394" t="str">
        <f t="shared" si="128"/>
        <v/>
      </c>
    </row>
    <row r="1869" spans="8:11" x14ac:dyDescent="0.25">
      <c r="H1869" s="394" t="str">
        <f t="shared" si="125"/>
        <v/>
      </c>
      <c r="I1869" s="394" t="str">
        <f t="shared" si="126"/>
        <v/>
      </c>
      <c r="J1869" s="394" t="str">
        <f t="shared" si="127"/>
        <v/>
      </c>
      <c r="K1869" s="394" t="str">
        <f t="shared" si="128"/>
        <v/>
      </c>
    </row>
    <row r="1870" spans="8:11" x14ac:dyDescent="0.25">
      <c r="H1870" s="394" t="str">
        <f t="shared" si="125"/>
        <v/>
      </c>
      <c r="I1870" s="394" t="str">
        <f t="shared" si="126"/>
        <v/>
      </c>
      <c r="J1870" s="394" t="str">
        <f t="shared" si="127"/>
        <v/>
      </c>
      <c r="K1870" s="394" t="str">
        <f t="shared" si="128"/>
        <v/>
      </c>
    </row>
    <row r="1871" spans="8:11" x14ac:dyDescent="0.25">
      <c r="H1871" s="394" t="str">
        <f t="shared" si="125"/>
        <v/>
      </c>
      <c r="I1871" s="394" t="str">
        <f t="shared" si="126"/>
        <v/>
      </c>
      <c r="J1871" s="394" t="str">
        <f t="shared" si="127"/>
        <v/>
      </c>
      <c r="K1871" s="394" t="str">
        <f t="shared" si="128"/>
        <v/>
      </c>
    </row>
    <row r="1872" spans="8:11" x14ac:dyDescent="0.25">
      <c r="H1872" s="394" t="str">
        <f t="shared" si="125"/>
        <v/>
      </c>
      <c r="I1872" s="394" t="str">
        <f t="shared" si="126"/>
        <v/>
      </c>
      <c r="J1872" s="394" t="str">
        <f t="shared" si="127"/>
        <v/>
      </c>
      <c r="K1872" s="394" t="str">
        <f t="shared" si="128"/>
        <v/>
      </c>
    </row>
    <row r="1873" spans="8:11" x14ac:dyDescent="0.25">
      <c r="H1873" s="394" t="str">
        <f t="shared" si="125"/>
        <v/>
      </c>
      <c r="I1873" s="394" t="str">
        <f t="shared" si="126"/>
        <v/>
      </c>
      <c r="J1873" s="394" t="str">
        <f t="shared" si="127"/>
        <v/>
      </c>
      <c r="K1873" s="394" t="str">
        <f t="shared" si="128"/>
        <v/>
      </c>
    </row>
    <row r="1874" spans="8:11" x14ac:dyDescent="0.25">
      <c r="H1874" s="394" t="str">
        <f t="shared" si="125"/>
        <v/>
      </c>
      <c r="I1874" s="394" t="str">
        <f t="shared" si="126"/>
        <v/>
      </c>
      <c r="J1874" s="394" t="str">
        <f t="shared" si="127"/>
        <v/>
      </c>
      <c r="K1874" s="394" t="str">
        <f t="shared" si="128"/>
        <v/>
      </c>
    </row>
    <row r="1875" spans="8:11" x14ac:dyDescent="0.25">
      <c r="H1875" s="394" t="str">
        <f t="shared" si="125"/>
        <v/>
      </c>
      <c r="I1875" s="394" t="str">
        <f t="shared" si="126"/>
        <v/>
      </c>
      <c r="J1875" s="394" t="str">
        <f t="shared" si="127"/>
        <v/>
      </c>
      <c r="K1875" s="394" t="str">
        <f t="shared" si="128"/>
        <v/>
      </c>
    </row>
    <row r="1876" spans="8:11" x14ac:dyDescent="0.25">
      <c r="H1876" s="394" t="str">
        <f t="shared" si="125"/>
        <v/>
      </c>
      <c r="I1876" s="394" t="str">
        <f t="shared" si="126"/>
        <v/>
      </c>
      <c r="J1876" s="394" t="str">
        <f t="shared" si="127"/>
        <v/>
      </c>
      <c r="K1876" s="394" t="str">
        <f t="shared" si="128"/>
        <v/>
      </c>
    </row>
    <row r="1877" spans="8:11" x14ac:dyDescent="0.25">
      <c r="H1877" s="394" t="str">
        <f t="shared" si="125"/>
        <v/>
      </c>
      <c r="I1877" s="394" t="str">
        <f t="shared" si="126"/>
        <v/>
      </c>
      <c r="J1877" s="394" t="str">
        <f t="shared" si="127"/>
        <v/>
      </c>
      <c r="K1877" s="394" t="str">
        <f t="shared" si="128"/>
        <v/>
      </c>
    </row>
    <row r="1878" spans="8:11" x14ac:dyDescent="0.25">
      <c r="H1878" s="394" t="str">
        <f t="shared" si="125"/>
        <v/>
      </c>
      <c r="I1878" s="394" t="str">
        <f t="shared" si="126"/>
        <v/>
      </c>
      <c r="J1878" s="394" t="str">
        <f t="shared" si="127"/>
        <v/>
      </c>
      <c r="K1878" s="394" t="str">
        <f t="shared" si="128"/>
        <v/>
      </c>
    </row>
    <row r="1879" spans="8:11" x14ac:dyDescent="0.25">
      <c r="H1879" s="394" t="str">
        <f t="shared" si="125"/>
        <v/>
      </c>
      <c r="I1879" s="394" t="str">
        <f t="shared" si="126"/>
        <v/>
      </c>
      <c r="J1879" s="394" t="str">
        <f t="shared" si="127"/>
        <v/>
      </c>
      <c r="K1879" s="394" t="str">
        <f t="shared" si="128"/>
        <v/>
      </c>
    </row>
    <row r="1880" spans="8:11" x14ac:dyDescent="0.25">
      <c r="H1880" s="394" t="str">
        <f t="shared" si="125"/>
        <v/>
      </c>
      <c r="I1880" s="394" t="str">
        <f t="shared" si="126"/>
        <v/>
      </c>
      <c r="J1880" s="394" t="str">
        <f t="shared" si="127"/>
        <v/>
      </c>
      <c r="K1880" s="394" t="str">
        <f t="shared" si="128"/>
        <v/>
      </c>
    </row>
    <row r="1881" spans="8:11" x14ac:dyDescent="0.25">
      <c r="H1881" s="394" t="str">
        <f t="shared" si="125"/>
        <v/>
      </c>
      <c r="I1881" s="394" t="str">
        <f t="shared" si="126"/>
        <v/>
      </c>
      <c r="J1881" s="394" t="str">
        <f t="shared" si="127"/>
        <v/>
      </c>
      <c r="K1881" s="394" t="str">
        <f t="shared" si="128"/>
        <v/>
      </c>
    </row>
    <row r="1882" spans="8:11" x14ac:dyDescent="0.25">
      <c r="H1882" s="394" t="str">
        <f t="shared" si="125"/>
        <v/>
      </c>
      <c r="I1882" s="394" t="str">
        <f t="shared" si="126"/>
        <v/>
      </c>
      <c r="J1882" s="394" t="str">
        <f t="shared" si="127"/>
        <v/>
      </c>
      <c r="K1882" s="394" t="str">
        <f t="shared" si="128"/>
        <v/>
      </c>
    </row>
    <row r="1883" spans="8:11" x14ac:dyDescent="0.25">
      <c r="H1883" s="394" t="str">
        <f t="shared" si="125"/>
        <v/>
      </c>
      <c r="I1883" s="394" t="str">
        <f t="shared" si="126"/>
        <v/>
      </c>
      <c r="J1883" s="394" t="str">
        <f t="shared" si="127"/>
        <v/>
      </c>
      <c r="K1883" s="394" t="str">
        <f t="shared" si="128"/>
        <v/>
      </c>
    </row>
    <row r="1884" spans="8:11" x14ac:dyDescent="0.25">
      <c r="H1884" s="394" t="str">
        <f t="shared" si="125"/>
        <v/>
      </c>
      <c r="I1884" s="394" t="str">
        <f t="shared" si="126"/>
        <v/>
      </c>
      <c r="J1884" s="394" t="str">
        <f t="shared" si="127"/>
        <v/>
      </c>
      <c r="K1884" s="394" t="str">
        <f t="shared" si="128"/>
        <v/>
      </c>
    </row>
    <row r="1885" spans="8:11" x14ac:dyDescent="0.25">
      <c r="H1885" s="394" t="str">
        <f t="shared" si="125"/>
        <v/>
      </c>
      <c r="I1885" s="394" t="str">
        <f t="shared" si="126"/>
        <v/>
      </c>
      <c r="J1885" s="394" t="str">
        <f t="shared" si="127"/>
        <v/>
      </c>
      <c r="K1885" s="394" t="str">
        <f t="shared" si="128"/>
        <v/>
      </c>
    </row>
    <row r="1886" spans="8:11" x14ac:dyDescent="0.25">
      <c r="H1886" s="394" t="str">
        <f t="shared" si="125"/>
        <v/>
      </c>
      <c r="I1886" s="394" t="str">
        <f t="shared" si="126"/>
        <v/>
      </c>
      <c r="J1886" s="394" t="str">
        <f t="shared" si="127"/>
        <v/>
      </c>
      <c r="K1886" s="394" t="str">
        <f t="shared" si="128"/>
        <v/>
      </c>
    </row>
    <row r="1887" spans="8:11" x14ac:dyDescent="0.25">
      <c r="H1887" s="394" t="str">
        <f t="shared" si="125"/>
        <v/>
      </c>
      <c r="I1887" s="394" t="str">
        <f t="shared" si="126"/>
        <v/>
      </c>
      <c r="J1887" s="394" t="str">
        <f t="shared" si="127"/>
        <v/>
      </c>
      <c r="K1887" s="394" t="str">
        <f t="shared" si="128"/>
        <v/>
      </c>
    </row>
    <row r="1888" spans="8:11" x14ac:dyDescent="0.25">
      <c r="H1888" s="394" t="str">
        <f t="shared" si="125"/>
        <v/>
      </c>
      <c r="I1888" s="394" t="str">
        <f t="shared" si="126"/>
        <v/>
      </c>
      <c r="J1888" s="394" t="str">
        <f t="shared" si="127"/>
        <v/>
      </c>
      <c r="K1888" s="394" t="str">
        <f t="shared" si="128"/>
        <v/>
      </c>
    </row>
    <row r="1889" spans="8:11" x14ac:dyDescent="0.25">
      <c r="H1889" s="394" t="str">
        <f t="shared" si="125"/>
        <v/>
      </c>
      <c r="I1889" s="394" t="str">
        <f t="shared" si="126"/>
        <v/>
      </c>
      <c r="J1889" s="394" t="str">
        <f t="shared" si="127"/>
        <v/>
      </c>
      <c r="K1889" s="394" t="str">
        <f t="shared" si="128"/>
        <v/>
      </c>
    </row>
    <row r="1890" spans="8:11" x14ac:dyDescent="0.25">
      <c r="H1890" s="394" t="str">
        <f t="shared" si="125"/>
        <v/>
      </c>
      <c r="I1890" s="394" t="str">
        <f t="shared" si="126"/>
        <v/>
      </c>
      <c r="J1890" s="394" t="str">
        <f t="shared" si="127"/>
        <v/>
      </c>
      <c r="K1890" s="394" t="str">
        <f t="shared" si="128"/>
        <v/>
      </c>
    </row>
    <row r="1891" spans="8:11" x14ac:dyDescent="0.25">
      <c r="H1891" s="394" t="str">
        <f t="shared" si="125"/>
        <v/>
      </c>
      <c r="I1891" s="394" t="str">
        <f t="shared" si="126"/>
        <v/>
      </c>
      <c r="J1891" s="394" t="str">
        <f t="shared" si="127"/>
        <v/>
      </c>
      <c r="K1891" s="394" t="str">
        <f t="shared" si="128"/>
        <v/>
      </c>
    </row>
    <row r="1892" spans="8:11" x14ac:dyDescent="0.25">
      <c r="H1892" s="394" t="str">
        <f t="shared" si="125"/>
        <v/>
      </c>
      <c r="I1892" s="394" t="str">
        <f t="shared" si="126"/>
        <v/>
      </c>
      <c r="J1892" s="394" t="str">
        <f t="shared" si="127"/>
        <v/>
      </c>
      <c r="K1892" s="394" t="str">
        <f t="shared" si="128"/>
        <v/>
      </c>
    </row>
    <row r="1893" spans="8:11" x14ac:dyDescent="0.25">
      <c r="H1893" s="394" t="str">
        <f t="shared" si="125"/>
        <v/>
      </c>
      <c r="I1893" s="394" t="str">
        <f t="shared" si="126"/>
        <v/>
      </c>
      <c r="J1893" s="394" t="str">
        <f t="shared" si="127"/>
        <v/>
      </c>
      <c r="K1893" s="394" t="str">
        <f t="shared" si="128"/>
        <v/>
      </c>
    </row>
    <row r="1894" spans="8:11" x14ac:dyDescent="0.25">
      <c r="H1894" s="394" t="str">
        <f t="shared" si="125"/>
        <v/>
      </c>
      <c r="I1894" s="394" t="str">
        <f t="shared" si="126"/>
        <v/>
      </c>
      <c r="J1894" s="394" t="str">
        <f t="shared" si="127"/>
        <v/>
      </c>
      <c r="K1894" s="394" t="str">
        <f t="shared" si="128"/>
        <v/>
      </c>
    </row>
    <row r="1895" spans="8:11" x14ac:dyDescent="0.25">
      <c r="H1895" s="394" t="str">
        <f t="shared" si="125"/>
        <v/>
      </c>
      <c r="I1895" s="394" t="str">
        <f t="shared" si="126"/>
        <v/>
      </c>
      <c r="J1895" s="394" t="str">
        <f t="shared" si="127"/>
        <v/>
      </c>
      <c r="K1895" s="394" t="str">
        <f t="shared" si="128"/>
        <v/>
      </c>
    </row>
    <row r="1896" spans="8:11" x14ac:dyDescent="0.25">
      <c r="H1896" s="394" t="str">
        <f t="shared" si="125"/>
        <v/>
      </c>
      <c r="I1896" s="394" t="str">
        <f t="shared" si="126"/>
        <v/>
      </c>
      <c r="J1896" s="394" t="str">
        <f t="shared" si="127"/>
        <v/>
      </c>
      <c r="K1896" s="394" t="str">
        <f t="shared" si="128"/>
        <v/>
      </c>
    </row>
    <row r="1897" spans="8:11" x14ac:dyDescent="0.25">
      <c r="H1897" s="394" t="str">
        <f t="shared" ref="H1897:H1960" si="129">IF($C919="","",ROUND(($B$2*$F919*($B$5/1000))/$B$6,2))</f>
        <v/>
      </c>
      <c r="I1897" s="394" t="str">
        <f t="shared" ref="I1897:I1960" si="130">IF($C919="","",ROUND(($B$3*$F919*($B$5/1000))/$B$6,2))</f>
        <v/>
      </c>
      <c r="J1897" s="394" t="str">
        <f t="shared" ref="J1897:J1960" si="131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2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29"/>
        <v/>
      </c>
      <c r="I1898" s="394" t="str">
        <f t="shared" si="130"/>
        <v/>
      </c>
      <c r="J1898" s="394" t="str">
        <f t="shared" si="131"/>
        <v/>
      </c>
      <c r="K1898" s="394" t="str">
        <f t="shared" si="132"/>
        <v/>
      </c>
    </row>
    <row r="1899" spans="8:11" x14ac:dyDescent="0.25">
      <c r="H1899" s="394" t="str">
        <f t="shared" si="129"/>
        <v/>
      </c>
      <c r="I1899" s="394" t="str">
        <f t="shared" si="130"/>
        <v/>
      </c>
      <c r="J1899" s="394" t="str">
        <f t="shared" si="131"/>
        <v/>
      </c>
      <c r="K1899" s="394" t="str">
        <f t="shared" si="132"/>
        <v/>
      </c>
    </row>
    <row r="1900" spans="8:11" x14ac:dyDescent="0.25">
      <c r="H1900" s="394" t="str">
        <f t="shared" si="129"/>
        <v/>
      </c>
      <c r="I1900" s="394" t="str">
        <f t="shared" si="130"/>
        <v/>
      </c>
      <c r="J1900" s="394" t="str">
        <f t="shared" si="131"/>
        <v/>
      </c>
      <c r="K1900" s="394" t="str">
        <f t="shared" si="132"/>
        <v/>
      </c>
    </row>
    <row r="1901" spans="8:11" x14ac:dyDescent="0.25">
      <c r="H1901" s="394" t="str">
        <f t="shared" si="129"/>
        <v/>
      </c>
      <c r="I1901" s="394" t="str">
        <f t="shared" si="130"/>
        <v/>
      </c>
      <c r="J1901" s="394" t="str">
        <f t="shared" si="131"/>
        <v/>
      </c>
      <c r="K1901" s="394" t="str">
        <f t="shared" si="132"/>
        <v/>
      </c>
    </row>
    <row r="1902" spans="8:11" x14ac:dyDescent="0.25">
      <c r="H1902" s="394" t="str">
        <f t="shared" si="129"/>
        <v/>
      </c>
      <c r="I1902" s="394" t="str">
        <f t="shared" si="130"/>
        <v/>
      </c>
      <c r="J1902" s="394" t="str">
        <f t="shared" si="131"/>
        <v/>
      </c>
      <c r="K1902" s="394" t="str">
        <f t="shared" si="132"/>
        <v/>
      </c>
    </row>
    <row r="1903" spans="8:11" x14ac:dyDescent="0.25">
      <c r="H1903" s="394" t="str">
        <f t="shared" si="129"/>
        <v/>
      </c>
      <c r="I1903" s="394" t="str">
        <f t="shared" si="130"/>
        <v/>
      </c>
      <c r="J1903" s="394" t="str">
        <f t="shared" si="131"/>
        <v/>
      </c>
      <c r="K1903" s="394" t="str">
        <f t="shared" si="132"/>
        <v/>
      </c>
    </row>
    <row r="1904" spans="8:11" x14ac:dyDescent="0.25">
      <c r="H1904" s="394" t="str">
        <f t="shared" si="129"/>
        <v/>
      </c>
      <c r="I1904" s="394" t="str">
        <f t="shared" si="130"/>
        <v/>
      </c>
      <c r="J1904" s="394" t="str">
        <f t="shared" si="131"/>
        <v/>
      </c>
      <c r="K1904" s="394" t="str">
        <f t="shared" si="132"/>
        <v/>
      </c>
    </row>
    <row r="1905" spans="8:11" x14ac:dyDescent="0.25">
      <c r="H1905" s="394" t="str">
        <f t="shared" si="129"/>
        <v/>
      </c>
      <c r="I1905" s="394" t="str">
        <f t="shared" si="130"/>
        <v/>
      </c>
      <c r="J1905" s="394" t="str">
        <f t="shared" si="131"/>
        <v/>
      </c>
      <c r="K1905" s="394" t="str">
        <f t="shared" si="132"/>
        <v/>
      </c>
    </row>
    <row r="1906" spans="8:11" x14ac:dyDescent="0.25">
      <c r="H1906" s="394" t="str">
        <f t="shared" si="129"/>
        <v/>
      </c>
      <c r="I1906" s="394" t="str">
        <f t="shared" si="130"/>
        <v/>
      </c>
      <c r="J1906" s="394" t="str">
        <f t="shared" si="131"/>
        <v/>
      </c>
      <c r="K1906" s="394" t="str">
        <f t="shared" si="132"/>
        <v/>
      </c>
    </row>
    <row r="1907" spans="8:11" x14ac:dyDescent="0.25">
      <c r="H1907" s="394" t="str">
        <f t="shared" si="129"/>
        <v/>
      </c>
      <c r="I1907" s="394" t="str">
        <f t="shared" si="130"/>
        <v/>
      </c>
      <c r="J1907" s="394" t="str">
        <f t="shared" si="131"/>
        <v/>
      </c>
      <c r="K1907" s="394" t="str">
        <f t="shared" si="132"/>
        <v/>
      </c>
    </row>
    <row r="1908" spans="8:11" x14ac:dyDescent="0.25">
      <c r="H1908" s="394" t="str">
        <f t="shared" si="129"/>
        <v/>
      </c>
      <c r="I1908" s="394" t="str">
        <f t="shared" si="130"/>
        <v/>
      </c>
      <c r="J1908" s="394" t="str">
        <f t="shared" si="131"/>
        <v/>
      </c>
      <c r="K1908" s="394" t="str">
        <f t="shared" si="132"/>
        <v/>
      </c>
    </row>
    <row r="1909" spans="8:11" x14ac:dyDescent="0.25">
      <c r="H1909" s="394" t="str">
        <f t="shared" si="129"/>
        <v/>
      </c>
      <c r="I1909" s="394" t="str">
        <f t="shared" si="130"/>
        <v/>
      </c>
      <c r="J1909" s="394" t="str">
        <f t="shared" si="131"/>
        <v/>
      </c>
      <c r="K1909" s="394" t="str">
        <f t="shared" si="132"/>
        <v/>
      </c>
    </row>
    <row r="1910" spans="8:11" x14ac:dyDescent="0.25">
      <c r="H1910" s="394" t="str">
        <f t="shared" si="129"/>
        <v/>
      </c>
      <c r="I1910" s="394" t="str">
        <f t="shared" si="130"/>
        <v/>
      </c>
      <c r="J1910" s="394" t="str">
        <f t="shared" si="131"/>
        <v/>
      </c>
      <c r="K1910" s="394" t="str">
        <f t="shared" si="132"/>
        <v/>
      </c>
    </row>
    <row r="1911" spans="8:11" x14ac:dyDescent="0.25">
      <c r="H1911" s="394" t="str">
        <f t="shared" si="129"/>
        <v/>
      </c>
      <c r="I1911" s="394" t="str">
        <f t="shared" si="130"/>
        <v/>
      </c>
      <c r="J1911" s="394" t="str">
        <f t="shared" si="131"/>
        <v/>
      </c>
      <c r="K1911" s="394" t="str">
        <f t="shared" si="132"/>
        <v/>
      </c>
    </row>
    <row r="1912" spans="8:11" x14ac:dyDescent="0.25">
      <c r="H1912" s="394" t="str">
        <f t="shared" si="129"/>
        <v/>
      </c>
      <c r="I1912" s="394" t="str">
        <f t="shared" si="130"/>
        <v/>
      </c>
      <c r="J1912" s="394" t="str">
        <f t="shared" si="131"/>
        <v/>
      </c>
      <c r="K1912" s="394" t="str">
        <f t="shared" si="132"/>
        <v/>
      </c>
    </row>
    <row r="1913" spans="8:11" x14ac:dyDescent="0.25">
      <c r="H1913" s="394" t="str">
        <f t="shared" si="129"/>
        <v/>
      </c>
      <c r="I1913" s="394" t="str">
        <f t="shared" si="130"/>
        <v/>
      </c>
      <c r="J1913" s="394" t="str">
        <f t="shared" si="131"/>
        <v/>
      </c>
      <c r="K1913" s="394" t="str">
        <f t="shared" si="132"/>
        <v/>
      </c>
    </row>
    <row r="1914" spans="8:11" x14ac:dyDescent="0.25">
      <c r="H1914" s="394" t="str">
        <f t="shared" si="129"/>
        <v/>
      </c>
      <c r="I1914" s="394" t="str">
        <f t="shared" si="130"/>
        <v/>
      </c>
      <c r="J1914" s="394" t="str">
        <f t="shared" si="131"/>
        <v/>
      </c>
      <c r="K1914" s="394" t="str">
        <f t="shared" si="132"/>
        <v/>
      </c>
    </row>
    <row r="1915" spans="8:11" x14ac:dyDescent="0.25">
      <c r="H1915" s="394" t="str">
        <f t="shared" si="129"/>
        <v/>
      </c>
      <c r="I1915" s="394" t="str">
        <f t="shared" si="130"/>
        <v/>
      </c>
      <c r="J1915" s="394" t="str">
        <f t="shared" si="131"/>
        <v/>
      </c>
      <c r="K1915" s="394" t="str">
        <f t="shared" si="132"/>
        <v/>
      </c>
    </row>
    <row r="1916" spans="8:11" x14ac:dyDescent="0.25">
      <c r="H1916" s="394" t="str">
        <f t="shared" si="129"/>
        <v/>
      </c>
      <c r="I1916" s="394" t="str">
        <f t="shared" si="130"/>
        <v/>
      </c>
      <c r="J1916" s="394" t="str">
        <f t="shared" si="131"/>
        <v/>
      </c>
      <c r="K1916" s="394" t="str">
        <f t="shared" si="132"/>
        <v/>
      </c>
    </row>
    <row r="1917" spans="8:11" x14ac:dyDescent="0.25">
      <c r="H1917" s="394" t="str">
        <f t="shared" si="129"/>
        <v/>
      </c>
      <c r="I1917" s="394" t="str">
        <f t="shared" si="130"/>
        <v/>
      </c>
      <c r="J1917" s="394" t="str">
        <f t="shared" si="131"/>
        <v/>
      </c>
      <c r="K1917" s="394" t="str">
        <f t="shared" si="132"/>
        <v/>
      </c>
    </row>
    <row r="1918" spans="8:11" x14ac:dyDescent="0.25">
      <c r="H1918" s="394" t="str">
        <f t="shared" si="129"/>
        <v/>
      </c>
      <c r="I1918" s="394" t="str">
        <f t="shared" si="130"/>
        <v/>
      </c>
      <c r="J1918" s="394" t="str">
        <f t="shared" si="131"/>
        <v/>
      </c>
      <c r="K1918" s="394" t="str">
        <f t="shared" si="132"/>
        <v/>
      </c>
    </row>
    <row r="1919" spans="8:11" x14ac:dyDescent="0.25">
      <c r="H1919" s="394" t="str">
        <f t="shared" si="129"/>
        <v/>
      </c>
      <c r="I1919" s="394" t="str">
        <f t="shared" si="130"/>
        <v/>
      </c>
      <c r="J1919" s="394" t="str">
        <f t="shared" si="131"/>
        <v/>
      </c>
      <c r="K1919" s="394" t="str">
        <f t="shared" si="132"/>
        <v/>
      </c>
    </row>
    <row r="1920" spans="8:11" x14ac:dyDescent="0.25">
      <c r="H1920" s="394" t="str">
        <f t="shared" si="129"/>
        <v/>
      </c>
      <c r="I1920" s="394" t="str">
        <f t="shared" si="130"/>
        <v/>
      </c>
      <c r="J1920" s="394" t="str">
        <f t="shared" si="131"/>
        <v/>
      </c>
      <c r="K1920" s="394" t="str">
        <f t="shared" si="132"/>
        <v/>
      </c>
    </row>
    <row r="1921" spans="8:11" x14ac:dyDescent="0.25">
      <c r="H1921" s="394" t="str">
        <f t="shared" si="129"/>
        <v/>
      </c>
      <c r="I1921" s="394" t="str">
        <f t="shared" si="130"/>
        <v/>
      </c>
      <c r="J1921" s="394" t="str">
        <f t="shared" si="131"/>
        <v/>
      </c>
      <c r="K1921" s="394" t="str">
        <f t="shared" si="132"/>
        <v/>
      </c>
    </row>
    <row r="1922" spans="8:11" x14ac:dyDescent="0.25">
      <c r="H1922" s="394" t="str">
        <f t="shared" si="129"/>
        <v/>
      </c>
      <c r="I1922" s="394" t="str">
        <f t="shared" si="130"/>
        <v/>
      </c>
      <c r="J1922" s="394" t="str">
        <f t="shared" si="131"/>
        <v/>
      </c>
      <c r="K1922" s="394" t="str">
        <f t="shared" si="132"/>
        <v/>
      </c>
    </row>
    <row r="1923" spans="8:11" x14ac:dyDescent="0.25">
      <c r="H1923" s="394" t="str">
        <f t="shared" si="129"/>
        <v/>
      </c>
      <c r="I1923" s="394" t="str">
        <f t="shared" si="130"/>
        <v/>
      </c>
      <c r="J1923" s="394" t="str">
        <f t="shared" si="131"/>
        <v/>
      </c>
      <c r="K1923" s="394" t="str">
        <f t="shared" si="132"/>
        <v/>
      </c>
    </row>
    <row r="1924" spans="8:11" x14ac:dyDescent="0.25">
      <c r="H1924" s="394" t="str">
        <f t="shared" si="129"/>
        <v/>
      </c>
      <c r="I1924" s="394" t="str">
        <f t="shared" si="130"/>
        <v/>
      </c>
      <c r="J1924" s="394" t="str">
        <f t="shared" si="131"/>
        <v/>
      </c>
      <c r="K1924" s="394" t="str">
        <f t="shared" si="132"/>
        <v/>
      </c>
    </row>
    <row r="1925" spans="8:11" x14ac:dyDescent="0.25">
      <c r="H1925" s="394" t="str">
        <f t="shared" si="129"/>
        <v/>
      </c>
      <c r="I1925" s="394" t="str">
        <f t="shared" si="130"/>
        <v/>
      </c>
      <c r="J1925" s="394" t="str">
        <f t="shared" si="131"/>
        <v/>
      </c>
      <c r="K1925" s="394" t="str">
        <f t="shared" si="132"/>
        <v/>
      </c>
    </row>
    <row r="1926" spans="8:11" x14ac:dyDescent="0.25">
      <c r="H1926" s="394" t="str">
        <f t="shared" si="129"/>
        <v/>
      </c>
      <c r="I1926" s="394" t="str">
        <f t="shared" si="130"/>
        <v/>
      </c>
      <c r="J1926" s="394" t="str">
        <f t="shared" si="131"/>
        <v/>
      </c>
      <c r="K1926" s="394" t="str">
        <f t="shared" si="132"/>
        <v/>
      </c>
    </row>
    <row r="1927" spans="8:11" x14ac:dyDescent="0.25">
      <c r="H1927" s="394" t="str">
        <f t="shared" si="129"/>
        <v/>
      </c>
      <c r="I1927" s="394" t="str">
        <f t="shared" si="130"/>
        <v/>
      </c>
      <c r="J1927" s="394" t="str">
        <f t="shared" si="131"/>
        <v/>
      </c>
      <c r="K1927" s="394" t="str">
        <f t="shared" si="132"/>
        <v/>
      </c>
    </row>
    <row r="1928" spans="8:11" x14ac:dyDescent="0.25">
      <c r="H1928" s="394" t="str">
        <f t="shared" si="129"/>
        <v/>
      </c>
      <c r="I1928" s="394" t="str">
        <f t="shared" si="130"/>
        <v/>
      </c>
      <c r="J1928" s="394" t="str">
        <f t="shared" si="131"/>
        <v/>
      </c>
      <c r="K1928" s="394" t="str">
        <f t="shared" si="132"/>
        <v/>
      </c>
    </row>
    <row r="1929" spans="8:11" x14ac:dyDescent="0.25">
      <c r="H1929" s="394" t="str">
        <f t="shared" si="129"/>
        <v/>
      </c>
      <c r="I1929" s="394" t="str">
        <f t="shared" si="130"/>
        <v/>
      </c>
      <c r="J1929" s="394" t="str">
        <f t="shared" si="131"/>
        <v/>
      </c>
      <c r="K1929" s="394" t="str">
        <f t="shared" si="132"/>
        <v/>
      </c>
    </row>
    <row r="1930" spans="8:11" x14ac:dyDescent="0.25">
      <c r="H1930" s="394" t="str">
        <f t="shared" si="129"/>
        <v/>
      </c>
      <c r="I1930" s="394" t="str">
        <f t="shared" si="130"/>
        <v/>
      </c>
      <c r="J1930" s="394" t="str">
        <f t="shared" si="131"/>
        <v/>
      </c>
      <c r="K1930" s="394" t="str">
        <f t="shared" si="132"/>
        <v/>
      </c>
    </row>
    <row r="1931" spans="8:11" x14ac:dyDescent="0.25">
      <c r="H1931" s="394" t="str">
        <f t="shared" si="129"/>
        <v/>
      </c>
      <c r="I1931" s="394" t="str">
        <f t="shared" si="130"/>
        <v/>
      </c>
      <c r="J1931" s="394" t="str">
        <f t="shared" si="131"/>
        <v/>
      </c>
      <c r="K1931" s="394" t="str">
        <f t="shared" si="132"/>
        <v/>
      </c>
    </row>
    <row r="1932" spans="8:11" x14ac:dyDescent="0.25">
      <c r="H1932" s="394" t="str">
        <f t="shared" si="129"/>
        <v/>
      </c>
      <c r="I1932" s="394" t="str">
        <f t="shared" si="130"/>
        <v/>
      </c>
      <c r="J1932" s="394" t="str">
        <f t="shared" si="131"/>
        <v/>
      </c>
      <c r="K1932" s="394" t="str">
        <f t="shared" si="132"/>
        <v/>
      </c>
    </row>
    <row r="1933" spans="8:11" x14ac:dyDescent="0.25">
      <c r="H1933" s="394" t="str">
        <f t="shared" si="129"/>
        <v/>
      </c>
      <c r="I1933" s="394" t="str">
        <f t="shared" si="130"/>
        <v/>
      </c>
      <c r="J1933" s="394" t="str">
        <f t="shared" si="131"/>
        <v/>
      </c>
      <c r="K1933" s="394" t="str">
        <f t="shared" si="132"/>
        <v/>
      </c>
    </row>
    <row r="1934" spans="8:11" x14ac:dyDescent="0.25">
      <c r="H1934" s="394" t="str">
        <f t="shared" si="129"/>
        <v/>
      </c>
      <c r="I1934" s="394" t="str">
        <f t="shared" si="130"/>
        <v/>
      </c>
      <c r="J1934" s="394" t="str">
        <f t="shared" si="131"/>
        <v/>
      </c>
      <c r="K1934" s="394" t="str">
        <f t="shared" si="132"/>
        <v/>
      </c>
    </row>
    <row r="1935" spans="8:11" x14ac:dyDescent="0.25">
      <c r="H1935" s="394" t="str">
        <f t="shared" si="129"/>
        <v/>
      </c>
      <c r="I1935" s="394" t="str">
        <f t="shared" si="130"/>
        <v/>
      </c>
      <c r="J1935" s="394" t="str">
        <f t="shared" si="131"/>
        <v/>
      </c>
      <c r="K1935" s="394" t="str">
        <f t="shared" si="132"/>
        <v/>
      </c>
    </row>
    <row r="1936" spans="8:11" x14ac:dyDescent="0.25">
      <c r="H1936" s="394" t="str">
        <f t="shared" si="129"/>
        <v/>
      </c>
      <c r="I1936" s="394" t="str">
        <f t="shared" si="130"/>
        <v/>
      </c>
      <c r="J1936" s="394" t="str">
        <f t="shared" si="131"/>
        <v/>
      </c>
      <c r="K1936" s="394" t="str">
        <f t="shared" si="132"/>
        <v/>
      </c>
    </row>
    <row r="1937" spans="8:11" x14ac:dyDescent="0.25">
      <c r="H1937" s="394" t="str">
        <f t="shared" si="129"/>
        <v/>
      </c>
      <c r="I1937" s="394" t="str">
        <f t="shared" si="130"/>
        <v/>
      </c>
      <c r="J1937" s="394" t="str">
        <f t="shared" si="131"/>
        <v/>
      </c>
      <c r="K1937" s="394" t="str">
        <f t="shared" si="132"/>
        <v/>
      </c>
    </row>
    <row r="1938" spans="8:11" x14ac:dyDescent="0.25">
      <c r="H1938" s="394" t="str">
        <f t="shared" si="129"/>
        <v/>
      </c>
      <c r="I1938" s="394" t="str">
        <f t="shared" si="130"/>
        <v/>
      </c>
      <c r="J1938" s="394" t="str">
        <f t="shared" si="131"/>
        <v/>
      </c>
      <c r="K1938" s="394" t="str">
        <f t="shared" si="132"/>
        <v/>
      </c>
    </row>
    <row r="1939" spans="8:11" x14ac:dyDescent="0.25">
      <c r="H1939" s="394" t="str">
        <f t="shared" si="129"/>
        <v/>
      </c>
      <c r="I1939" s="394" t="str">
        <f t="shared" si="130"/>
        <v/>
      </c>
      <c r="J1939" s="394" t="str">
        <f t="shared" si="131"/>
        <v/>
      </c>
      <c r="K1939" s="394" t="str">
        <f t="shared" si="132"/>
        <v/>
      </c>
    </row>
    <row r="1940" spans="8:11" x14ac:dyDescent="0.25">
      <c r="H1940" s="394" t="str">
        <f t="shared" si="129"/>
        <v/>
      </c>
      <c r="I1940" s="394" t="str">
        <f t="shared" si="130"/>
        <v/>
      </c>
      <c r="J1940" s="394" t="str">
        <f t="shared" si="131"/>
        <v/>
      </c>
      <c r="K1940" s="394" t="str">
        <f t="shared" si="132"/>
        <v/>
      </c>
    </row>
    <row r="1941" spans="8:11" x14ac:dyDescent="0.25">
      <c r="H1941" s="394" t="str">
        <f t="shared" si="129"/>
        <v/>
      </c>
      <c r="I1941" s="394" t="str">
        <f t="shared" si="130"/>
        <v/>
      </c>
      <c r="J1941" s="394" t="str">
        <f t="shared" si="131"/>
        <v/>
      </c>
      <c r="K1941" s="394" t="str">
        <f t="shared" si="132"/>
        <v/>
      </c>
    </row>
    <row r="1942" spans="8:11" x14ac:dyDescent="0.25">
      <c r="H1942" s="394" t="str">
        <f t="shared" si="129"/>
        <v/>
      </c>
      <c r="I1942" s="394" t="str">
        <f t="shared" si="130"/>
        <v/>
      </c>
      <c r="J1942" s="394" t="str">
        <f t="shared" si="131"/>
        <v/>
      </c>
      <c r="K1942" s="394" t="str">
        <f t="shared" si="132"/>
        <v/>
      </c>
    </row>
    <row r="1943" spans="8:11" x14ac:dyDescent="0.25">
      <c r="H1943" s="394" t="str">
        <f t="shared" si="129"/>
        <v/>
      </c>
      <c r="I1943" s="394" t="str">
        <f t="shared" si="130"/>
        <v/>
      </c>
      <c r="J1943" s="394" t="str">
        <f t="shared" si="131"/>
        <v/>
      </c>
      <c r="K1943" s="394" t="str">
        <f t="shared" si="132"/>
        <v/>
      </c>
    </row>
    <row r="1944" spans="8:11" x14ac:dyDescent="0.25">
      <c r="H1944" s="394" t="str">
        <f t="shared" si="129"/>
        <v/>
      </c>
      <c r="I1944" s="394" t="str">
        <f t="shared" si="130"/>
        <v/>
      </c>
      <c r="J1944" s="394" t="str">
        <f t="shared" si="131"/>
        <v/>
      </c>
      <c r="K1944" s="394" t="str">
        <f t="shared" si="132"/>
        <v/>
      </c>
    </row>
    <row r="1945" spans="8:11" x14ac:dyDescent="0.25">
      <c r="H1945" s="394" t="str">
        <f t="shared" si="129"/>
        <v/>
      </c>
      <c r="I1945" s="394" t="str">
        <f t="shared" si="130"/>
        <v/>
      </c>
      <c r="J1945" s="394" t="str">
        <f t="shared" si="131"/>
        <v/>
      </c>
      <c r="K1945" s="394" t="str">
        <f t="shared" si="132"/>
        <v/>
      </c>
    </row>
    <row r="1946" spans="8:11" x14ac:dyDescent="0.25">
      <c r="H1946" s="394" t="str">
        <f t="shared" si="129"/>
        <v/>
      </c>
      <c r="I1946" s="394" t="str">
        <f t="shared" si="130"/>
        <v/>
      </c>
      <c r="J1946" s="394" t="str">
        <f t="shared" si="131"/>
        <v/>
      </c>
      <c r="K1946" s="394" t="str">
        <f t="shared" si="132"/>
        <v/>
      </c>
    </row>
    <row r="1947" spans="8:11" x14ac:dyDescent="0.25">
      <c r="H1947" s="394" t="str">
        <f t="shared" si="129"/>
        <v/>
      </c>
      <c r="I1947" s="394" t="str">
        <f t="shared" si="130"/>
        <v/>
      </c>
      <c r="J1947" s="394" t="str">
        <f t="shared" si="131"/>
        <v/>
      </c>
      <c r="K1947" s="394" t="str">
        <f t="shared" si="132"/>
        <v/>
      </c>
    </row>
    <row r="1948" spans="8:11" x14ac:dyDescent="0.25">
      <c r="H1948" s="394" t="str">
        <f t="shared" si="129"/>
        <v/>
      </c>
      <c r="I1948" s="394" t="str">
        <f t="shared" si="130"/>
        <v/>
      </c>
      <c r="J1948" s="394" t="str">
        <f t="shared" si="131"/>
        <v/>
      </c>
      <c r="K1948" s="394" t="str">
        <f t="shared" si="132"/>
        <v/>
      </c>
    </row>
    <row r="1949" spans="8:11" x14ac:dyDescent="0.25">
      <c r="H1949" s="394" t="str">
        <f t="shared" si="129"/>
        <v/>
      </c>
      <c r="I1949" s="394" t="str">
        <f t="shared" si="130"/>
        <v/>
      </c>
      <c r="J1949" s="394" t="str">
        <f t="shared" si="131"/>
        <v/>
      </c>
      <c r="K1949" s="394" t="str">
        <f t="shared" si="132"/>
        <v/>
      </c>
    </row>
    <row r="1950" spans="8:11" x14ac:dyDescent="0.25">
      <c r="H1950" s="394" t="str">
        <f t="shared" si="129"/>
        <v/>
      </c>
      <c r="I1950" s="394" t="str">
        <f t="shared" si="130"/>
        <v/>
      </c>
      <c r="J1950" s="394" t="str">
        <f t="shared" si="131"/>
        <v/>
      </c>
      <c r="K1950" s="394" t="str">
        <f t="shared" si="132"/>
        <v/>
      </c>
    </row>
    <row r="1951" spans="8:11" x14ac:dyDescent="0.25">
      <c r="H1951" s="394" t="str">
        <f t="shared" si="129"/>
        <v/>
      </c>
      <c r="I1951" s="394" t="str">
        <f t="shared" si="130"/>
        <v/>
      </c>
      <c r="J1951" s="394" t="str">
        <f t="shared" si="131"/>
        <v/>
      </c>
      <c r="K1951" s="394" t="str">
        <f t="shared" si="132"/>
        <v/>
      </c>
    </row>
    <row r="1952" spans="8:11" x14ac:dyDescent="0.25">
      <c r="H1952" s="394" t="str">
        <f t="shared" si="129"/>
        <v/>
      </c>
      <c r="I1952" s="394" t="str">
        <f t="shared" si="130"/>
        <v/>
      </c>
      <c r="J1952" s="394" t="str">
        <f t="shared" si="131"/>
        <v/>
      </c>
      <c r="K1952" s="394" t="str">
        <f t="shared" si="132"/>
        <v/>
      </c>
    </row>
    <row r="1953" spans="8:11" x14ac:dyDescent="0.25">
      <c r="H1953" s="394" t="str">
        <f t="shared" si="129"/>
        <v/>
      </c>
      <c r="I1953" s="394" t="str">
        <f t="shared" si="130"/>
        <v/>
      </c>
      <c r="J1953" s="394" t="str">
        <f t="shared" si="131"/>
        <v/>
      </c>
      <c r="K1953" s="394" t="str">
        <f t="shared" si="132"/>
        <v/>
      </c>
    </row>
    <row r="1954" spans="8:11" x14ac:dyDescent="0.25">
      <c r="H1954" s="394" t="str">
        <f t="shared" si="129"/>
        <v/>
      </c>
      <c r="I1954" s="394" t="str">
        <f t="shared" si="130"/>
        <v/>
      </c>
      <c r="J1954" s="394" t="str">
        <f t="shared" si="131"/>
        <v/>
      </c>
      <c r="K1954" s="394" t="str">
        <f t="shared" si="132"/>
        <v/>
      </c>
    </row>
    <row r="1955" spans="8:11" x14ac:dyDescent="0.25">
      <c r="H1955" s="394" t="str">
        <f t="shared" si="129"/>
        <v/>
      </c>
      <c r="I1955" s="394" t="str">
        <f t="shared" si="130"/>
        <v/>
      </c>
      <c r="J1955" s="394" t="str">
        <f t="shared" si="131"/>
        <v/>
      </c>
      <c r="K1955" s="394" t="str">
        <f t="shared" si="132"/>
        <v/>
      </c>
    </row>
    <row r="1956" spans="8:11" x14ac:dyDescent="0.25">
      <c r="H1956" s="394" t="str">
        <f t="shared" si="129"/>
        <v/>
      </c>
      <c r="I1956" s="394" t="str">
        <f t="shared" si="130"/>
        <v/>
      </c>
      <c r="J1956" s="394" t="str">
        <f t="shared" si="131"/>
        <v/>
      </c>
      <c r="K1956" s="394" t="str">
        <f t="shared" si="132"/>
        <v/>
      </c>
    </row>
    <row r="1957" spans="8:11" x14ac:dyDescent="0.25">
      <c r="H1957" s="394" t="str">
        <f t="shared" si="129"/>
        <v/>
      </c>
      <c r="I1957" s="394" t="str">
        <f t="shared" si="130"/>
        <v/>
      </c>
      <c r="J1957" s="394" t="str">
        <f t="shared" si="131"/>
        <v/>
      </c>
      <c r="K1957" s="394" t="str">
        <f t="shared" si="132"/>
        <v/>
      </c>
    </row>
    <row r="1958" spans="8:11" x14ac:dyDescent="0.25">
      <c r="H1958" s="394" t="str">
        <f t="shared" si="129"/>
        <v/>
      </c>
      <c r="I1958" s="394" t="str">
        <f t="shared" si="130"/>
        <v/>
      </c>
      <c r="J1958" s="394" t="str">
        <f t="shared" si="131"/>
        <v/>
      </c>
      <c r="K1958" s="394" t="str">
        <f t="shared" si="132"/>
        <v/>
      </c>
    </row>
    <row r="1959" spans="8:11" x14ac:dyDescent="0.25">
      <c r="H1959" s="394" t="str">
        <f t="shared" si="129"/>
        <v/>
      </c>
      <c r="I1959" s="394" t="str">
        <f t="shared" si="130"/>
        <v/>
      </c>
      <c r="J1959" s="394" t="str">
        <f t="shared" si="131"/>
        <v/>
      </c>
      <c r="K1959" s="394" t="str">
        <f t="shared" si="132"/>
        <v/>
      </c>
    </row>
    <row r="1960" spans="8:11" x14ac:dyDescent="0.25">
      <c r="H1960" s="394" t="str">
        <f t="shared" si="129"/>
        <v/>
      </c>
      <c r="I1960" s="394" t="str">
        <f t="shared" si="130"/>
        <v/>
      </c>
      <c r="J1960" s="394" t="str">
        <f t="shared" si="131"/>
        <v/>
      </c>
      <c r="K1960" s="394" t="str">
        <f t="shared" si="132"/>
        <v/>
      </c>
    </row>
    <row r="1961" spans="8:11" x14ac:dyDescent="0.25">
      <c r="H1961" s="394" t="str">
        <f t="shared" ref="H1961:H1978" si="133">IF($C983="","",ROUND(($B$2*$F983*($B$5/1000))/$B$6,2))</f>
        <v/>
      </c>
      <c r="I1961" s="394" t="str">
        <f t="shared" ref="I1961:I1978" si="134">IF($C983="","",ROUND(($B$3*$F983*($B$5/1000))/$B$6,2))</f>
        <v/>
      </c>
      <c r="J1961" s="394" t="str">
        <f t="shared" ref="J1961:J1978" si="135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36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3"/>
        <v/>
      </c>
      <c r="I1962" s="394" t="str">
        <f t="shared" si="134"/>
        <v/>
      </c>
      <c r="J1962" s="394" t="str">
        <f t="shared" si="135"/>
        <v/>
      </c>
      <c r="K1962" s="394" t="str">
        <f t="shared" si="136"/>
        <v/>
      </c>
    </row>
    <row r="1963" spans="8:11" x14ac:dyDescent="0.25">
      <c r="H1963" s="394" t="str">
        <f t="shared" si="133"/>
        <v/>
      </c>
      <c r="I1963" s="394" t="str">
        <f t="shared" si="134"/>
        <v/>
      </c>
      <c r="J1963" s="394" t="str">
        <f t="shared" si="135"/>
        <v/>
      </c>
      <c r="K1963" s="394" t="str">
        <f t="shared" si="136"/>
        <v/>
      </c>
    </row>
    <row r="1964" spans="8:11" x14ac:dyDescent="0.25">
      <c r="H1964" s="394" t="str">
        <f t="shared" si="133"/>
        <v/>
      </c>
      <c r="I1964" s="394" t="str">
        <f t="shared" si="134"/>
        <v/>
      </c>
      <c r="J1964" s="394" t="str">
        <f t="shared" si="135"/>
        <v/>
      </c>
      <c r="K1964" s="394" t="str">
        <f t="shared" si="136"/>
        <v/>
      </c>
    </row>
    <row r="1965" spans="8:11" x14ac:dyDescent="0.25">
      <c r="H1965" s="394" t="str">
        <f t="shared" si="133"/>
        <v/>
      </c>
      <c r="I1965" s="394" t="str">
        <f t="shared" si="134"/>
        <v/>
      </c>
      <c r="J1965" s="394" t="str">
        <f t="shared" si="135"/>
        <v/>
      </c>
      <c r="K1965" s="394" t="str">
        <f t="shared" si="136"/>
        <v/>
      </c>
    </row>
    <row r="1966" spans="8:11" x14ac:dyDescent="0.25">
      <c r="H1966" s="394" t="str">
        <f t="shared" si="133"/>
        <v/>
      </c>
      <c r="I1966" s="394" t="str">
        <f t="shared" si="134"/>
        <v/>
      </c>
      <c r="J1966" s="394" t="str">
        <f t="shared" si="135"/>
        <v/>
      </c>
      <c r="K1966" s="394" t="str">
        <f t="shared" si="136"/>
        <v/>
      </c>
    </row>
    <row r="1967" spans="8:11" x14ac:dyDescent="0.25">
      <c r="H1967" s="394" t="str">
        <f t="shared" si="133"/>
        <v/>
      </c>
      <c r="I1967" s="394" t="str">
        <f t="shared" si="134"/>
        <v/>
      </c>
      <c r="J1967" s="394" t="str">
        <f t="shared" si="135"/>
        <v/>
      </c>
      <c r="K1967" s="394" t="str">
        <f t="shared" si="136"/>
        <v/>
      </c>
    </row>
    <row r="1968" spans="8:11" x14ac:dyDescent="0.25">
      <c r="H1968" s="394" t="str">
        <f t="shared" si="133"/>
        <v/>
      </c>
      <c r="I1968" s="394" t="str">
        <f t="shared" si="134"/>
        <v/>
      </c>
      <c r="J1968" s="394" t="str">
        <f t="shared" si="135"/>
        <v/>
      </c>
      <c r="K1968" s="394" t="str">
        <f t="shared" si="136"/>
        <v/>
      </c>
    </row>
    <row r="1969" spans="8:11" x14ac:dyDescent="0.25">
      <c r="H1969" s="394" t="str">
        <f t="shared" si="133"/>
        <v/>
      </c>
      <c r="I1969" s="394" t="str">
        <f t="shared" si="134"/>
        <v/>
      </c>
      <c r="J1969" s="394" t="str">
        <f t="shared" si="135"/>
        <v/>
      </c>
      <c r="K1969" s="394" t="str">
        <f t="shared" si="136"/>
        <v/>
      </c>
    </row>
    <row r="1970" spans="8:11" x14ac:dyDescent="0.25">
      <c r="H1970" s="394" t="str">
        <f t="shared" si="133"/>
        <v/>
      </c>
      <c r="I1970" s="394" t="str">
        <f t="shared" si="134"/>
        <v/>
      </c>
      <c r="J1970" s="394" t="str">
        <f t="shared" si="135"/>
        <v/>
      </c>
      <c r="K1970" s="394" t="str">
        <f t="shared" si="136"/>
        <v/>
      </c>
    </row>
    <row r="1971" spans="8:11" x14ac:dyDescent="0.25">
      <c r="H1971" s="394" t="str">
        <f t="shared" si="133"/>
        <v/>
      </c>
      <c r="I1971" s="394" t="str">
        <f t="shared" si="134"/>
        <v/>
      </c>
      <c r="J1971" s="394" t="str">
        <f t="shared" si="135"/>
        <v/>
      </c>
      <c r="K1971" s="394" t="str">
        <f t="shared" si="136"/>
        <v/>
      </c>
    </row>
    <row r="1972" spans="8:11" x14ac:dyDescent="0.25">
      <c r="H1972" s="394" t="str">
        <f t="shared" si="133"/>
        <v/>
      </c>
      <c r="I1972" s="394" t="str">
        <f t="shared" si="134"/>
        <v/>
      </c>
      <c r="J1972" s="394" t="str">
        <f t="shared" si="135"/>
        <v/>
      </c>
      <c r="K1972" s="394" t="str">
        <f t="shared" si="136"/>
        <v/>
      </c>
    </row>
    <row r="1973" spans="8:11" x14ac:dyDescent="0.25">
      <c r="H1973" s="394" t="str">
        <f t="shared" si="133"/>
        <v/>
      </c>
      <c r="I1973" s="394" t="str">
        <f t="shared" si="134"/>
        <v/>
      </c>
      <c r="J1973" s="394" t="str">
        <f t="shared" si="135"/>
        <v/>
      </c>
      <c r="K1973" s="394" t="str">
        <f t="shared" si="136"/>
        <v/>
      </c>
    </row>
    <row r="1974" spans="8:11" x14ac:dyDescent="0.25">
      <c r="H1974" s="394" t="str">
        <f t="shared" si="133"/>
        <v/>
      </c>
      <c r="I1974" s="394" t="str">
        <f t="shared" si="134"/>
        <v/>
      </c>
      <c r="J1974" s="394" t="str">
        <f t="shared" si="135"/>
        <v/>
      </c>
      <c r="K1974" s="394" t="str">
        <f t="shared" si="136"/>
        <v/>
      </c>
    </row>
    <row r="1975" spans="8:11" x14ac:dyDescent="0.25">
      <c r="H1975" s="394" t="str">
        <f t="shared" si="133"/>
        <v/>
      </c>
      <c r="I1975" s="394" t="str">
        <f t="shared" si="134"/>
        <v/>
      </c>
      <c r="J1975" s="394" t="str">
        <f t="shared" si="135"/>
        <v/>
      </c>
      <c r="K1975" s="394" t="str">
        <f t="shared" si="136"/>
        <v/>
      </c>
    </row>
    <row r="1976" spans="8:11" x14ac:dyDescent="0.25">
      <c r="H1976" s="394" t="str">
        <f t="shared" si="133"/>
        <v/>
      </c>
      <c r="I1976" s="394" t="str">
        <f t="shared" si="134"/>
        <v/>
      </c>
      <c r="J1976" s="394" t="str">
        <f t="shared" si="135"/>
        <v/>
      </c>
      <c r="K1976" s="394" t="str">
        <f t="shared" si="136"/>
        <v/>
      </c>
    </row>
    <row r="1977" spans="8:11" x14ac:dyDescent="0.25">
      <c r="H1977" s="394" t="str">
        <f t="shared" si="133"/>
        <v/>
      </c>
      <c r="I1977" s="394" t="str">
        <f t="shared" si="134"/>
        <v/>
      </c>
      <c r="J1977" s="394" t="str">
        <f t="shared" si="135"/>
        <v/>
      </c>
      <c r="K1977" s="394" t="str">
        <f t="shared" si="136"/>
        <v/>
      </c>
    </row>
    <row r="1978" spans="8:11" x14ac:dyDescent="0.25">
      <c r="H1978" s="394" t="str">
        <f t="shared" si="133"/>
        <v/>
      </c>
      <c r="I1978" s="394" t="str">
        <f t="shared" si="134"/>
        <v/>
      </c>
      <c r="J1978" s="394" t="str">
        <f t="shared" si="135"/>
        <v/>
      </c>
      <c r="K1978" s="394" t="str">
        <f t="shared" si="136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51">
    <sortCondition ref="G51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11"/>
  <sheetViews>
    <sheetView zoomScale="75" zoomScaleNormal="75" workbookViewId="0">
      <selection sqref="A1:E1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6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:H9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</v>
      </c>
      <c r="D3" t="str">
        <v>P/C</v>
      </c>
      <c r="E3" t="str" cm="1">
        <f t="array" ref="E3:E11">_xlfn.LET(_xlpm.src,TRIM(CalcEngine!$E$61:$E$5000),IFERROR(_xlfn._xlws.SORT(_xlfn.UNIQUE(_xlfn._xlws.FILTER(_xlpm.src,(_xlpm.src&lt;&gt;"")*(_xlpm.src&lt;&gt;"Default")))),""))</f>
        <v>12mm Bronze Tempered Glass Panel</v>
      </c>
      <c r="F3" t="str">
        <v>SF 2"</v>
      </c>
      <c r="H3" t="str">
        <v>Top + Bottom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12mm Clear Float Glass</v>
      </c>
      <c r="F4" t="str">
        <v>SF 3"</v>
      </c>
      <c r="H4" t="str">
        <v>L / R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E5" t="str">
        <v>12mm Clear Tempered Glass Panel</v>
      </c>
      <c r="F5" t="str">
        <v>SF 4"</v>
      </c>
      <c r="H5" t="str">
        <v>L + R</v>
      </c>
    </row>
    <row r="6" spans="1:12" x14ac:dyDescent="0.25">
      <c r="E6" t="str">
        <v>12mm Crystal Tempered Glass Panel</v>
      </c>
      <c r="F6" t="str">
        <v>Z-L</v>
      </c>
      <c r="H6" t="str">
        <v>Top / Bottom + L / R</v>
      </c>
    </row>
    <row r="7" spans="1:12" x14ac:dyDescent="0.25">
      <c r="E7" t="str">
        <v>12mm Euro Grey Tempered Glass Panel</v>
      </c>
      <c r="H7" t="str">
        <v>Top / Bottom + L + R</v>
      </c>
    </row>
    <row r="8" spans="1:12" x14ac:dyDescent="0.25">
      <c r="E8" t="str">
        <v>12mm Frosted Float Glass</v>
      </c>
      <c r="H8" t="str">
        <v>Top + Bottom + L / R</v>
      </c>
    </row>
    <row r="9" spans="1:12" x14ac:dyDescent="0.25">
      <c r="E9" t="str">
        <v>12mm Green Tempered Glass Panel</v>
      </c>
      <c r="H9" t="str">
        <v>Top + Bottom + L + R</v>
      </c>
    </row>
    <row r="10" spans="1:12" x14ac:dyDescent="0.25">
      <c r="E10" t="str">
        <v>12mm Grey Tempered Glass Panel</v>
      </c>
    </row>
    <row r="11" spans="1:12" x14ac:dyDescent="0.25">
      <c r="E11" t="str">
        <v>12mm Partition Board Gypsum 4ft x 8ft ★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50</v>
      </c>
      <c r="E2" s="244">
        <v>11.46</v>
      </c>
      <c r="F2" s="105">
        <f>IF(D2*E2=0, "", D2*E2)</f>
        <v>573</v>
      </c>
      <c r="G2" s="18" t="s">
        <v>9</v>
      </c>
      <c r="H2" s="10">
        <f>2*Enginuity!$B$6 + 2*Enginuity!$B$7</f>
        <v>70</v>
      </c>
      <c r="I2" s="17">
        <v>1.1000000000000001</v>
      </c>
      <c r="J2" s="83">
        <f>IF(H2*I2=0, "", H2*I2)</f>
        <v>77</v>
      </c>
      <c r="K2" s="343"/>
      <c r="L2" s="347"/>
      <c r="M2" s="89">
        <v>1</v>
      </c>
      <c r="N2" s="93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70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20</v>
      </c>
      <c r="E3" s="244">
        <v>2.99</v>
      </c>
      <c r="F3" s="105">
        <f t="shared" ref="F3:F49" si="0">IF(D3*E3=0, "", D3*E3)</f>
        <v>59.800000000000004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70</v>
      </c>
      <c r="P3" s="14" t="s">
        <v>266</v>
      </c>
      <c r="Q3" s="83">
        <f>IF(AND(Enginuity!$B$6&gt;0, Enginuity!$B$7&gt;0, Enginuity!$B$13&gt;0), (2 * Enginuity!$B$7 * Enginuity!$B$13) + (2 * Enginuity!$B$6), "")</f>
        <v>45760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Bronze Tempered Glass Panel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21.175000000000001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20</v>
      </c>
      <c r="E4" s="244">
        <v>5.7</v>
      </c>
      <c r="F4" s="105">
        <f t="shared" si="0"/>
        <v>114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45760</v>
      </c>
      <c r="P4" s="14" t="s">
        <v>263</v>
      </c>
      <c r="Q4" s="83">
        <f>IF(Enginuity!$B$6&gt;0, Enginuity!$B$6, "")</f>
        <v>20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Float Glass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5.7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2</v>
      </c>
      <c r="E5" s="244">
        <v>59</v>
      </c>
      <c r="F5" s="105">
        <f t="shared" si="0"/>
        <v>118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91520</v>
      </c>
      <c r="P5" s="14" t="s">
        <v>264</v>
      </c>
      <c r="Q5" s="83">
        <f>IF(Enginuity!$B$7&gt;0, Enginuity!$B$7, "")</f>
        <v>15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Tempered Glass Panel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E6" s="244">
        <v>0.56999999999999995</v>
      </c>
      <c r="F6" s="105">
        <f t="shared" si="0"/>
        <v>170.99999999999997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P6" s="14" t="s">
        <v>265</v>
      </c>
      <c r="Q6" s="83">
        <f>IF(AND(Enginuity!$B$7&gt;0, Enginuity!$B$13&gt;1), (Enginuity!$B$13 - 1) * Enginuity!$B$7, "")</f>
        <v>22845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Crystal Tempered Glass Panel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29.04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34475.1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1524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Euro Grey Tempered Glass Panel</v>
      </c>
      <c r="BB7" s="5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21.175000000000001</v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11770.14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P8" s="14" t="s">
        <v>278</v>
      </c>
      <c r="Q8" s="83">
        <f>Enginuity!$B$6*2</f>
        <v>40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Frosted Float Glass</v>
      </c>
      <c r="BB8" s="5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</v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22920</v>
      </c>
      <c r="E9" s="245">
        <v>1.86</v>
      </c>
      <c r="F9" s="105">
        <f t="shared" si="0"/>
        <v>42631.200000000004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1524</v>
      </c>
      <c r="P9" s="14" t="s">
        <v>281</v>
      </c>
      <c r="Q9" s="98">
        <f>Enginuity!$B$6</f>
        <v>20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Green Tempered Glass Panel</v>
      </c>
      <c r="BB9" s="5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15.730000000000002</v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45800</v>
      </c>
      <c r="E10" s="245">
        <v>1.86</v>
      </c>
      <c r="F10" s="105">
        <f t="shared" si="0"/>
        <v>85188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6096</v>
      </c>
      <c r="P10" s="14" t="s">
        <v>282</v>
      </c>
      <c r="Q10" s="83">
        <f>Enginuity!$B$6*2</f>
        <v>40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Grey Tempered Glass Panel</v>
      </c>
      <c r="BB10" s="5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21.175000000000001</v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34767.22</v>
      </c>
      <c r="F11" s="105">
        <f>IF(D11*E11=0, "", D11*E11)</f>
        <v>34767.22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3048</v>
      </c>
      <c r="P11" s="14" t="s">
        <v>283</v>
      </c>
      <c r="Q11" s="83">
        <f>Enginuity!$B$6*2</f>
        <v>40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Partition Board Gypsum 4ft x 8ft ★</v>
      </c>
      <c r="BB11" s="5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2.25</v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12062.259999999998</v>
      </c>
      <c r="F12" s="105">
        <f>IF(D12*E12=0, "", D12*E12)</f>
        <v>12062.259999999998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80</v>
      </c>
      <c r="P12" s="14" t="s">
        <v>284</v>
      </c>
      <c r="Q12" s="98">
        <f>Enginuity!$B$6</f>
        <v>20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Partition Board SCG Fiber Cement Board 4ft x 8ft</v>
      </c>
      <c r="BB12" s="5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5.44</v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4" t="s">
        <v>285</v>
      </c>
      <c r="Q13" s="83">
        <f>Enginuity!$B$6*2</f>
        <v>40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Bronze Float Glass</v>
      </c>
      <c r="BB13" s="5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</v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6096</v>
      </c>
      <c r="P14" s="14" t="s">
        <v>286</v>
      </c>
      <c r="Q14" s="83">
        <f>IF(Enginuity!$B$7&gt;0, 2 * Enginuity!$B$7, "")</f>
        <v>30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Bronze Float Glass Polished Edge</v>
      </c>
      <c r="BB14" s="5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16.5</v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30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Clear Float Glass</v>
      </c>
      <c r="BB15" s="5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8.5</v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30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Clear Float Glass Polished Edge</v>
      </c>
      <c r="BB16" s="5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9</v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20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Crystal Float Glass</v>
      </c>
      <c r="BB17" s="5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22.5</v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20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Crystal Float Glass Polished Edge</v>
      </c>
      <c r="BB18" s="5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23</v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22860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Euro Grey Float Glass</v>
      </c>
      <c r="BB19" s="5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</v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22860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Euro Grey Float Glass Polished Edge</v>
      </c>
      <c r="BB20" s="5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16.5</v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15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Green Float Glass</v>
      </c>
      <c r="BB21" s="5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</v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30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✂ 12mm Green Float Glass Polished Edge</v>
      </c>
      <c r="BB22" s="5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11.5</v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30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Bronze Tempered Glass Door</v>
      </c>
      <c r="BB23" s="5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22.275000000000002</v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Clear Tempered Glass Door</v>
      </c>
      <c r="BB24" s="5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12.100000000000001</v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Crystal Tempered Glass Door</v>
      </c>
      <c r="BB25" s="5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30.14</v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Euro Grey Tempered Glass Door</v>
      </c>
      <c r="BB26" s="5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22.275000000000002</v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Green Tempered Glass Door</v>
      </c>
      <c r="BB27" s="5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16.830000000000002</v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Grey Tempered Glass Door</v>
      </c>
      <c r="BB28" s="5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22.275000000000002</v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70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>12mm Bronze Tempered Glass Panel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45760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12mm Clear Float Glass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>12mm Clear Tempered Glass Panel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22845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12mm Crystal Tempered Glass Panel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Default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>12mm Euro Grey Tempered Glass Panel</v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SF 4"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>12mm Frosted Float Glass</v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>12mm Green Tempered Glass Panel</v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>12mm Grey Tempered Glass Panel</v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>12mm Partition Board Gypsum 4ft x 8ft ★</v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70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45760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22845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SF 4"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70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45760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91520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1524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1524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20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>12mm Bronze Tempered Glass Panel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20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12mm Clear Float Glass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30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>12mm Clear Tempered Glass Panel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40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12mm Crystal Tempered Glass Panel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40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>12mm Euro Grey Tempered Glass Panel</v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30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>12mm Frosted Float Glass</v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20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>12mm Green Tempered Glass Panel</v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20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>12mm Grey Tempered Glass Panel</v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22860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>12mm Partition Board Gypsum 4ft x 8ft ★</v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22860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15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SF 4"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20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20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30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40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40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30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20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20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22860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22860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15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SF 4"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70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45760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91520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1524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6096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3048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20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>12mm Bronze Tempered Glass Panel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20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12mm Clear Float Glass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30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>12mm Clear Tempered Glass Panel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40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12mm Crystal Tempered Glass Panel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40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>12mm Euro Grey Tempered Glass Panel</v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30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>12mm Frosted Float Glass</v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20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>12mm Green Tempered Glass Panel</v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20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>12mm Grey Tempered Glass Panel</v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22860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>12mm Partition Board Gypsum 4ft x 8ft ★</v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22860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15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SF 4"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20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20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30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40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40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30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20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20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22860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22860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15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SF 4"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70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45760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91520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1524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6096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3048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40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>12mm Bronze Tempered Glass Panel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30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12mm Clear Float Glass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20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>12mm Clear Tempered Glass Panel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30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12mm Crystal Tempered Glass Panel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80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>12mm Euro Grey Tempered Glass Panel</v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45760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>12mm Frosted Float Glass</v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30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>12mm Green Tempered Glass Panel</v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>12mm Grey Tempered Glass Panel</v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>12mm Partition Board Gypsum 4ft x 8ft ★</v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40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30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20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30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80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45760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30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91520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1524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3048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3048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40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1523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1523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45760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>12mm Bronze Tempered Glass Panel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30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12mm Clear Float Glass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>12mm Clear Tempered Glass Panel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SF 4"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12mm Crystal Tempered Glass Panel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>12mm Euro Grey Tempered Glass Panel</v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>12mm Frosted Float Glass</v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>12mm Green Tempered Glass Panel</v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>12mm Grey Tempered Glass Panel</v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>12mm Partition Board Gypsum 4ft x 8ft ★</v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573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45760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30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SF 4"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91520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9144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1524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40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1523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1523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50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50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70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70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>12mm Bronze Tempered Glass Panel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60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12mm Clear Float Glass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22845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>12mm Clear Tempered Glass Panel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12mm Crystal Tempered Glass Panel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SF 4"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>12mm Euro Grey Tempered Glass Panel</v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>12mm Frosted Float Glass</v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>12mm Green Tempered Glass Panel</v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>12mm Grey Tempered Glass Panel</v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>12mm Partition Board Gypsum 4ft x 8ft ★</v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70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60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22845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SF 4"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91520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70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>12mm Bronze Tempered Glass Panel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60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12mm Clear Float Glass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22845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>12mm Clear Tempered Glass Panel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12mm Crystal Tempered Glass Panel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SF 4"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>12mm Euro Grey Tempered Glass Panel</v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>12mm Frosted Float Glass</v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>12mm Green Tempered Glass Panel</v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>12mm Grey Tempered Glass Panel</v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>12mm Partition Board Gypsum 4ft x 8ft ★</v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70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60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22845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SF 4"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91520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22875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>12mm Bronze Tempered Glass Panel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20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12mm Clear Float Glass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20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>12mm Clear Tempered Glass Panel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15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12mm Crystal Tempered Glass Panel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70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>12mm Euro Grey Tempered Glass Panel</v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150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>12mm Frosted Float Glass</v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300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>12mm Green Tempered Glass Panel</v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300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>12mm Grey Tempered Glass Panel</v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300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>12mm Partition Board Gypsum 4ft x 8ft ★</v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300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22875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>12mm Bronze Tempered Glass Panel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20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12mm Clear Float Glass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20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>12mm Clear Tempered Glass Panel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15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12mm Crystal Tempered Glass Panel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70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>12mm Euro Grey Tempered Glass Panel</v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150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>12mm Frosted Float Glass</v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300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>12mm Green Tempered Glass Panel</v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300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>12mm Grey Tempered Glass Panel</v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300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>12mm Partition Board Gypsum 4ft x 8ft ★</v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300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22860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20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>12mm Bronze Tempered Glass Panel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70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12mm Clear Float Glass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300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>12mm Clear Tempered Glass Panel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70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12mm Crystal Tempered Glass Panel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70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>12mm Euro Grey Tempered Glass Panel</v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70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>12mm Frosted Float Glass</v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300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>12mm Green Tempered Glass Panel</v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22860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>12mm Grey Tempered Glass Panel</v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300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>12mm Partition Board Gypsum 4ft x 8ft ★</v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300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300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22860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>12mm Bronze Tempered Glass Panel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6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12mm Clear Float Glass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6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>12mm Clear Tempered Glass Panel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6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12mm Crystal Tempered Glass Panel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70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>12mm Euro Grey Tempered Glass Panel</v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17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>12mm Frosted Float Glass</v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17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>12mm Green Tempered Glass Panel</v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70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>12mm Grey Tempered Glass Panel</v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>12mm Partition Board Gypsum 4ft x 8ft ★</v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22860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>12mm Bronze Tempered Glass Panel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7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12mm Clear Float Glass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3048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>12mm Clear Tempered Glass Panel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18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12mm Crystal Tempered Glass Panel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18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>12mm Euro Grey Tempered Glass Panel</v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12192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>12mm Frosted Float Glass</v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70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>12mm Bronze Tempered Glass Panel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12mm Clear Float Glass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15254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>12mm Clear Tempered Glass Panel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5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12mm Crystal Tempered Glass Panel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1533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>12mm Euro Grey Tempered Glass Panel</v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>12mm Frosted Float Glass</v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70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15254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5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1533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>12mm Bronze Tempered Glass Panel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1524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12mm Clear Float Glass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1524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>12mm Clear Tempered Glass Panel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12mm Crystal Tempered Glass Panel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>12mm Euro Grey Tempered Glass Panel</v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>12mm Frosted Float Glass</v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70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>12mm Bronze Tempered Glass Panel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45760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12mm Clear Float Glass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>12mm Clear Tempered Glass Panel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22845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12mm Crystal Tempered Glass Panel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45760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>12mm Euro Grey Tempered Glass Panel</v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22860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>12mm Frosted Float Glass</v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Default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SF 4"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70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45760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91520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1524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1524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6096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6096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6096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7620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7620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3048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3048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1524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70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>12mm Bronze Tempered Glass Panel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45760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12mm Clear Float Glass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>12mm Clear Tempered Glass Panel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22845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12mm Crystal Tempered Glass Panel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22860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>12mm Euro Grey Tempered Glass Panel</v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>12mm Frosted Float Glass</v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Default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SF 4"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70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45760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91520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1524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1524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6096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7620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7620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3048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3048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1524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70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>12mm Bronze Tempered Glass Panel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45760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12mm Clear Float Glass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>12mm Clear Tempered Glass Panel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22845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12mm Crystal Tempered Glass Panel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>12mm Euro Grey Tempered Glass Panel</v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22860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>12mm Frosted Float Glass</v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Default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SF 4"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70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45760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91520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1524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1524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6096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7620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7620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3048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3048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1524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1783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20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>12mm Bronze Tempered Glass Panel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20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12mm Clear Float Glass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30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>12mm Clear Tempered Glass Panel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45760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12mm Crystal Tempered Glass Panel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30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>12mm Euro Grey Tempered Glass Panel</v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22860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>12mm Frosted Float Glass</v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SF 4"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70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45760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91520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0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762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6096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762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7622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762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1524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20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>12mm Bronze Tempered Glass Panel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20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12mm Clear Float Glass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30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>12mm Clear Tempered Glass Panel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40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12mm Crystal Tempered Glass Panel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40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>12mm Euro Grey Tempered Glass Panel</v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30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>12mm Frosted Float Glass</v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20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20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22860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22860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30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SF 4"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70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45760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91520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6096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1524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3048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6096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3048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20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>12mm Bronze Tempered Glass Panel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20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12mm Clear Float Glass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30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>12mm Clear Tempered Glass Panel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40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12mm Crystal Tempered Glass Panel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40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>12mm Euro Grey Tempered Glass Panel</v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30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>12mm Frosted Float Glass</v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20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20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22860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22860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30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SF 4"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70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45760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91520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6096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6096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300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>12mm Bronze Tempered Glass Panel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22860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12mm Clear Float Glass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45760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>12mm Clear Tempered Glass Panel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697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12mm Crystal Tempered Glass Panel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12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>12mm Euro Grey Tempered Glass Panel</v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N/A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>12mm Frosted Float Glass</v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10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70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45760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22845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40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900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15254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45760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50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50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45760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15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20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900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15254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9144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300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150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40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20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20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30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50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45760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900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900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15254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3048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300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150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300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N/A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>12mm Bronze Tempered Glass Panel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1524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12mm Clear Float Glass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3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>12mm Clear Tempered Glass Panel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1524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12mm Crystal Tempered Glass Panel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>12mm Euro Grey Tempered Glass Panel</v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>12mm Frosted Float Glass</v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N/A</v>
      </c>
      <c r="Q990" s="83">
        <f>IFERROR(
  IF(OR(Enginuity!$B$6="",Enginuity!$B$7=""),"",
     VALUE(Enginuity!$B$6)*VALUE(Enginuity!$B$7) - N(Q998)
  ),
"")</f>
        <v>300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>12mm Bronze Tempered Glass Panel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3048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12mm Clear Float Glass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1524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>12mm Clear Tempered Glass Panel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12mm Crystal Tempered Glass Panel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3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>12mm Euro Grey Tempered Glass Panel</v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32047.9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>12mm Frosted Float Glass</v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504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>12mm Green Tempered Glass Panel</v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>12mm Grey Tempered Glass Panel</v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>12mm Partition Board Gypsum 4ft x 8ft ★</v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15254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5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3048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N/A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>12mm Bronze Tempered Glass Panel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15254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12mm Clear Float Glass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5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>12mm Clear Tempered Glass Panel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3048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12mm Crystal Tempered Glass Panel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4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N/A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>12mm Bronze Tempered Glass Panel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2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12mm Clear Float Glass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15254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>12mm Clear Tempered Glass Panel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12mm Crystal Tempered Glass Panel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3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3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3048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50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>12mm Bronze Tempered Glass Panel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12mm Clear Float Glass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22845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>12mm Clear Tempered Glass Panel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12mm Crystal Tempered Glass Panel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3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10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50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>12mm Bronze Tempered Glass Panel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12mm Clear Float Glass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22845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>12mm Clear Tempered Glass Panel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12mm Crystal Tempered Glass Panel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10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140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1524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Default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SF 4"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140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1524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Default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SF 4"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140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1524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Default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SF 4"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70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>12mm Bronze Tempered Glass Panel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45760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12mm Clear Float Glass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>12mm Clear Tempered Glass Panel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22845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12mm Crystal Tempered Glass Panel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70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45760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22845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45760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3046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140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1524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Default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SF 4"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140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1524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Default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SF 4"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140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Default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SF 4"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1002.1724999999999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318.14999999999998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SF 4"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140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Default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SF 4"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70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70</v>
      </c>
      <c r="M1425" s="89"/>
      <c r="N1425" s="12" t="s">
        <v>817</v>
      </c>
      <c r="O1425" s="22"/>
      <c r="P1425" s="5" t="str">
        <f>Enginuity!$A$18</f>
        <v>CTW / SF Partition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70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70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70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70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70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70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70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70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70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70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>12mm Bronze Tempered Glass Panel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12mm Clear Float Glass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>12mm Clear Tempered Glass Panel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12mm Crystal Tempered Glass Panel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300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140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1524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Default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SF 4"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20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140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1524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Default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SF 4"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5331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>12mm Bronze Tempered Glass Panel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5331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12mm Clear Float Glass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300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>12mm Clear Tempered Glass Panel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91520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12mm Crystal Tempered Glass Panel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70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45760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91520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1524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1524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6096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6096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6096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7620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7620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3048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3048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1524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20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>12mm Bronze Tempered Glass Panel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20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12mm Clear Float Glass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30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>12mm Clear Tempered Glass Panel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45760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12mm Crystal Tempered Glass Panel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30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22860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SF 4"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70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45760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91520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0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762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6096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762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7622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762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1524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50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>12mm Bronze Tempered Glass Panel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106680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12mm Clear Float Glass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15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>12mm Clear Tempered Glass Panel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22860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12mm Crystal Tempered Glass Panel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>12mm Euro Grey Tempered Glass Panel</v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>12mm Frosted Float Glass</v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SF 4"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>12mm Green Tempered Glass Panel</v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>12mm Grey Tempered Glass Panel</v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>12mm Partition Board Gypsum 4ft x 8ft ★</v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50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213360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0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6096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10668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1523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1524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3048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2555642.2000000002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1782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1773</v>
      </c>
      <c r="Q1733" s="83">
        <f>IF(AND(Enginuity!$B$6&gt;0, Enginuity!$B$7&gt;0), ROUND(((Enginuity!$B$6 + Enginuity!$B$7) * 2), 2), "")</f>
        <v>70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>12mm Bronze Tempered Glass Panel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1772</v>
      </c>
      <c r="Q1734" s="83">
        <f>IF(AND(Enginuity!$B$6&gt;0,Enginuity!$B$7&gt;0,Enginuity!$B$13&gt;0),
   ROUND(2*(Enginuity!$B$6+Enginuity!$B$7)*Enginuity!$B$13,2),
"")</f>
        <v>106680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12mm Clear Float Glass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1774</v>
      </c>
      <c r="Q1735" s="83">
        <f>IF(AND(Enginuity!$B$6&gt;0,Enginuity!$B$7&gt;0,Enginuity!$B$13&gt;0),
   ROUND(2*(Enginuity!$B$6+Enginuity!$B$7)*Enginuity!$B$13,2),
"")</f>
        <v>106680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>12mm Clear Tempered Glass Panel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45720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12mm Crystal Tempered Glass Panel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1767</v>
      </c>
      <c r="Q1737" s="83">
        <f>IF(Enginuity!$B$13="","",Enginuity!$B$13)</f>
        <v>1524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>12mm Euro Grey Tempered Glass Panel</v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1775</v>
      </c>
      <c r="Q1738" s="83">
        <f>IF(Enginuity!$B$13="","",Enginuity!$B$13)</f>
        <v>1524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>12mm Frosted Float Glass</v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1776</v>
      </c>
      <c r="Q1739" s="83">
        <f>IF(Enginuity!$B$13="","",Enginuity!$B$13)</f>
        <v>1524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>12mm Green Tempered Glass Panel</v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1777</v>
      </c>
      <c r="Q1740" s="83">
        <f>IF(OR(Enginuity!$B$13="",Enginuity!$B$13=0),"",Enginuity!$B$13*2)</f>
        <v>3048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>12mm Grey Tempered Glass Panel</v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1778</v>
      </c>
      <c r="Q1741" s="83">
        <f>IF(Enginuity!$B$13="","",Enginuity!$B$13)</f>
        <v>1524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>12mm Partition Board Gypsum 4ft x 8ft ★</v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1779</v>
      </c>
      <c r="Q1742" s="83">
        <f>IF(OR(Enginuity!$B$13="",Enginuity!$B$13=0),"",Enginuity!$B$13*8)</f>
        <v>12192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1780</v>
      </c>
      <c r="Q1743" s="83">
        <f>IF(OR(Enginuity!$B$13="",Enginuity!$B$13=0),"",Enginuity!$B$13*8)</f>
        <v>12192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1781</v>
      </c>
      <c r="Q1744" s="83">
        <f>IF(OR(Enginuity!$B$13="",Enginuity!$B$13=0),"",Enginuity!$B$13*2)</f>
        <v>3048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30480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30480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213360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213360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N/A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2555642.2000000002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51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>12mm Bronze Tempered Glass Panel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51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12mm Clear Float Glass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77724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>12mm Clear Tempered Glass Panel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613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33 Blade 4" Adjustable Altair Louver</v>
      </c>
      <c r="Q1785" s="83">
        <f>IFERROR(MAX(1, ROUNDUP(VALUE(Enginuity!$B$13), 0)), 1)</f>
        <v>1524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12mm Crystal Tempered Glass Panel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5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>12mm Euro Grey Tempered Glass Panel</v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33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>12mm Frosted Float Glass</v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33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>12mm Green Tempered Glass Panel</v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50292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>12mm Grey Tempered Glass Panel</v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>12mm Partition Board Gypsum 4ft x 8ft ★</v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N/A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>12mm Bronze Tempered Glass Panel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12mm Clear Float Glass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>12mm Clear Tempered Glass Panel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12mm Crystal Tempered Glass Panel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>12mm Euro Grey Tempered Glass Panel</v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>12mm Frosted Float Glass</v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>12mm Green Tempered Glass Panel</v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>12mm Grey Tempered Glass Panel</v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>12mm Partition Board Gypsum 4ft x 8ft ★</v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>12mm Bronze Tempered Glass Panel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6100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12mm Clear Float Glass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1485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>12mm Clear Tempered Glass Panel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12mm Crystal Tempered Glass Panel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25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>12mm Euro Grey Tempered Glass Panel</v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70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>12mm Frosted Float Glass</v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Default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3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4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4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2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1447.9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20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>12mm Bronze Tempered Glass Panel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20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12mm Clear Float Glass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30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>12mm Clear Tempered Glass Panel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40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12mm Crystal Tempered Glass Panel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40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>12mm Euro Grey Tempered Glass Panel</v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30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>12mm Frosted Float Glass</v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20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>12mm Green Tempered Glass Panel</v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20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>12mm Grey Tempered Glass Panel</v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22860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>12mm Partition Board Gypsum 4ft x 8ft ★</v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22860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15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SF 4"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20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20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30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40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40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30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20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20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22860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22860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15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SF 4"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70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45760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91520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1524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6096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3048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70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>12mm Bronze Tempered Glass Panel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45760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12mm Clear Float Glass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>12mm Clear Tempered Glass Panel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22845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12mm Crystal Tempered Glass Panel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70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45760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22845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45760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91660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3046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N/A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Default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SF 4"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268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N/A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268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1830</v>
      </c>
      <c r="B1" s="1" t="s">
        <v>1831</v>
      </c>
      <c r="C1" s="1" t="s">
        <v>1832</v>
      </c>
      <c r="D1" s="1" t="s">
        <v>1833</v>
      </c>
      <c r="E1" s="1" t="s">
        <v>1834</v>
      </c>
      <c r="F1" s="1" t="s">
        <v>1835</v>
      </c>
      <c r="G1" s="1" t="s">
        <v>1836</v>
      </c>
      <c r="H1" s="1" t="s">
        <v>1837</v>
      </c>
      <c r="I1" s="1" t="s">
        <v>1838</v>
      </c>
      <c r="J1" s="1" t="s">
        <v>1839</v>
      </c>
      <c r="K1" s="1" t="s">
        <v>1840</v>
      </c>
      <c r="L1" s="1" t="s">
        <v>1841</v>
      </c>
      <c r="M1" s="1" t="s">
        <v>1842</v>
      </c>
      <c r="N1" s="1" t="s">
        <v>1843</v>
      </c>
      <c r="O1" s="1" t="s">
        <v>1845</v>
      </c>
      <c r="P1" s="1" t="s">
        <v>1844</v>
      </c>
      <c r="Q1" s="1" t="s">
        <v>1791</v>
      </c>
      <c r="R1" s="1" t="s">
        <v>102</v>
      </c>
      <c r="S1" s="1" t="s">
        <v>1846</v>
      </c>
      <c r="T1" s="1" t="s">
        <v>430</v>
      </c>
    </row>
    <row r="2" spans="1:20" x14ac:dyDescent="0.25">
      <c r="A2" s="398"/>
      <c r="B2" s="370" t="s">
        <v>1847</v>
      </c>
      <c r="P2" s="370" t="str">
        <f>IF(OR($S2="",$S2=0),"",COUNTIF($S$2:S2,"&lt;&gt;0"))</f>
        <v/>
      </c>
    </row>
    <row r="3" spans="1:20" x14ac:dyDescent="0.25">
      <c r="B3" s="370" t="s">
        <v>1849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1848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8" t="s">
        <v>1473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Q1" s="438" t="s">
        <v>1473</v>
      </c>
      <c r="R1" s="439"/>
      <c r="S1" s="439"/>
      <c r="T1" s="439"/>
      <c r="U1" s="439"/>
      <c r="V1" s="439"/>
      <c r="W1" s="439"/>
      <c r="X1" s="439"/>
      <c r="Y1" s="439"/>
      <c r="Z1" s="439"/>
      <c r="AA1" s="439"/>
    </row>
    <row r="2" spans="1:27" ht="15" customHeight="1" x14ac:dyDescent="0.25">
      <c r="A2" s="440" t="s">
        <v>1474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Q2" s="440" t="s">
        <v>1474</v>
      </c>
      <c r="R2" s="439"/>
      <c r="S2" s="439"/>
      <c r="T2" s="439"/>
      <c r="U2" s="439"/>
      <c r="V2" s="439"/>
      <c r="W2" s="439"/>
      <c r="X2" s="439"/>
      <c r="Y2" s="439"/>
      <c r="Z2" s="439"/>
      <c r="AA2" s="439"/>
    </row>
    <row r="3" spans="1:27" ht="15" customHeight="1" x14ac:dyDescent="0.25">
      <c r="A3" s="258" t="s">
        <v>1475</v>
      </c>
      <c r="B3" s="259">
        <v>21.4</v>
      </c>
      <c r="C3"/>
      <c r="F3" s="444" t="s">
        <v>1512</v>
      </c>
      <c r="G3" s="445"/>
      <c r="H3" s="445"/>
      <c r="I3" s="446"/>
      <c r="Q3" s="258" t="s">
        <v>1475</v>
      </c>
      <c r="R3" s="259">
        <v>25</v>
      </c>
      <c r="S3" s="269"/>
      <c r="V3" s="441" t="s">
        <v>1476</v>
      </c>
      <c r="W3" s="442"/>
      <c r="X3" s="442"/>
      <c r="Y3" s="443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44" t="s">
        <v>1511</v>
      </c>
      <c r="G7" s="445"/>
      <c r="H7" s="445"/>
      <c r="I7" s="446"/>
      <c r="Q7" s="258" t="s">
        <v>1484</v>
      </c>
      <c r="R7" s="263" t="s">
        <v>1480</v>
      </c>
      <c r="S7" s="269"/>
      <c r="V7" s="441" t="s">
        <v>1485</v>
      </c>
      <c r="W7" s="442"/>
      <c r="X7" s="442"/>
      <c r="Y7" s="443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40" t="s">
        <v>1487</v>
      </c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>
        <v>6060</v>
      </c>
      <c r="M11">
        <f>L11/304.8</f>
        <v>19.881889763779526</v>
      </c>
      <c r="Q11" s="440" t="s">
        <v>1487</v>
      </c>
      <c r="R11" s="439"/>
      <c r="S11" s="439"/>
      <c r="T11" s="439"/>
      <c r="U11" s="439"/>
      <c r="V11" s="439"/>
      <c r="W11" s="439"/>
      <c r="X11" s="439"/>
      <c r="Y11" s="439"/>
      <c r="Z11" s="439"/>
      <c r="AA11" s="439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1768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1768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1769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1770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1771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7" sqref="B7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47" t="s">
        <v>1520</v>
      </c>
      <c r="W1" s="447"/>
      <c r="AI1" s="148" t="s">
        <v>1754</v>
      </c>
      <c r="AJ1" s="148" t="s">
        <v>1753</v>
      </c>
      <c r="AK1" s="148" t="s">
        <v>1758</v>
      </c>
      <c r="AL1" s="375" t="s">
        <v>1758</v>
      </c>
      <c r="AM1" s="148" t="s">
        <v>1758</v>
      </c>
      <c r="AN1" s="148" t="s">
        <v>1753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1757</v>
      </c>
      <c r="AK2" s="163" t="s">
        <v>1759</v>
      </c>
      <c r="AL2" s="190" t="s">
        <v>99</v>
      </c>
      <c r="AM2" s="163" t="s">
        <v>1707</v>
      </c>
      <c r="AN2" s="163" t="s">
        <v>1764</v>
      </c>
    </row>
    <row r="3" spans="1:40" x14ac:dyDescent="0.25">
      <c r="A3" s="338" t="s">
        <v>1470</v>
      </c>
      <c r="B3" s="379">
        <f>E3</f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5</v>
      </c>
      <c r="J3" s="328">
        <f>$C$39</f>
        <v>1</v>
      </c>
      <c r="K3" s="328">
        <f>$C$40</f>
        <v>2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5</v>
      </c>
      <c r="R3" s="329">
        <f t="shared" ref="R3:S5" si="1">J3</f>
        <v>1</v>
      </c>
      <c r="S3" s="329">
        <f t="shared" si="1"/>
        <v>2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1762</v>
      </c>
      <c r="AJ3" s="15" t="s">
        <v>1763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F3</f>
        <v>480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5</v>
      </c>
      <c r="J4" s="359">
        <f>$C$39</f>
        <v>1</v>
      </c>
      <c r="K4" s="328">
        <f t="shared" ref="K4:K12" si="3">$C$40</f>
        <v>2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5</v>
      </c>
      <c r="R4" s="329">
        <f t="shared" si="1"/>
        <v>1</v>
      </c>
      <c r="S4" s="329">
        <f t="shared" si="1"/>
        <v>2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1755</v>
      </c>
      <c r="AJ4" s="15" t="s">
        <v>1760</v>
      </c>
      <c r="AK4" s="377">
        <v>124.3</v>
      </c>
      <c r="AL4" s="377">
        <v>49.5</v>
      </c>
      <c r="AM4" s="377">
        <v>25.4</v>
      </c>
      <c r="AN4" s="94" t="s">
        <v>1766</v>
      </c>
    </row>
    <row r="5" spans="1:40" x14ac:dyDescent="0.25">
      <c r="A5" s="338" t="s">
        <v>1696</v>
      </c>
      <c r="B5" s="379">
        <f>G3</f>
        <v>2835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5</v>
      </c>
      <c r="J5" s="328">
        <f t="shared" ref="J5:J12" si="7">$C$39</f>
        <v>1</v>
      </c>
      <c r="K5" s="328">
        <f t="shared" si="3"/>
        <v>2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5</v>
      </c>
      <c r="R5" s="329">
        <f t="shared" si="1"/>
        <v>1</v>
      </c>
      <c r="S5" s="329">
        <f t="shared" si="1"/>
        <v>2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1756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H3</f>
        <v>1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5</v>
      </c>
      <c r="J6" s="328">
        <f t="shared" si="7"/>
        <v>1</v>
      </c>
      <c r="K6" s="328">
        <f t="shared" si="3"/>
        <v>2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1756</v>
      </c>
      <c r="AJ6" s="15" t="s">
        <v>1761</v>
      </c>
      <c r="AK6" s="377">
        <v>121.6</v>
      </c>
      <c r="AL6" s="377">
        <v>73.72</v>
      </c>
      <c r="AM6" s="377">
        <v>25.4</v>
      </c>
      <c r="AN6" s="94" t="s">
        <v>1765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5</v>
      </c>
      <c r="J7" s="328">
        <f t="shared" si="7"/>
        <v>1</v>
      </c>
      <c r="K7" s="328">
        <f t="shared" si="3"/>
        <v>2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 t="s">
        <v>1700</v>
      </c>
      <c r="C8" s="358" t="s">
        <v>1701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5</v>
      </c>
      <c r="J8" s="328">
        <f t="shared" si="7"/>
        <v>1</v>
      </c>
      <c r="K8" s="328">
        <f t="shared" si="3"/>
        <v>2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1702</v>
      </c>
      <c r="B9" s="381" t="s">
        <v>1703</v>
      </c>
      <c r="C9" s="360" t="s">
        <v>1704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5</v>
      </c>
      <c r="J9" s="328">
        <f t="shared" si="7"/>
        <v>1</v>
      </c>
      <c r="K9" s="328">
        <f t="shared" si="3"/>
        <v>2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1705</v>
      </c>
      <c r="B10" s="379">
        <f>AK3</f>
        <v>51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5</v>
      </c>
      <c r="J10" s="328">
        <f t="shared" si="7"/>
        <v>1</v>
      </c>
      <c r="K10" s="328">
        <f t="shared" si="3"/>
        <v>2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69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1706</v>
      </c>
      <c r="B11" s="379">
        <f>AL3</f>
        <v>32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5</v>
      </c>
      <c r="J11" s="328">
        <f t="shared" si="7"/>
        <v>1</v>
      </c>
      <c r="K11" s="328">
        <f t="shared" si="3"/>
        <v>2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1707</v>
      </c>
      <c r="B12" s="379">
        <f>AM3</f>
        <v>10</v>
      </c>
      <c r="C12" s="358"/>
      <c r="D12" s="102"/>
      <c r="E12" s="282"/>
      <c r="F12" s="102"/>
      <c r="G12" s="102"/>
      <c r="H12" s="102"/>
      <c r="I12" s="328">
        <f t="shared" si="2"/>
        <v>5</v>
      </c>
      <c r="J12" s="328">
        <f t="shared" si="7"/>
        <v>1</v>
      </c>
      <c r="K12" s="328">
        <f t="shared" si="3"/>
        <v>2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1708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1709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1710</v>
      </c>
      <c r="B15" s="380">
        <v>25.4</v>
      </c>
      <c r="C15" s="358"/>
      <c r="D15" s="1"/>
      <c r="E15" s="1"/>
      <c r="F15" s="1"/>
      <c r="G15" s="1"/>
      <c r="I15" s="94">
        <f>SUM(I3:I11)</f>
        <v>45</v>
      </c>
      <c r="J15" s="94">
        <f>SUM(J3:J11)</f>
        <v>9</v>
      </c>
      <c r="K15" s="94">
        <f>SUM(K3:K11)</f>
        <v>18</v>
      </c>
      <c r="L15" s="282"/>
      <c r="O15" s="1"/>
      <c r="P15" s="1"/>
      <c r="Q15" s="94">
        <f>SUM(Q3:Q12)</f>
        <v>15</v>
      </c>
      <c r="R15" s="94">
        <f>SUM(R3:R11)</f>
        <v>3</v>
      </c>
      <c r="S15" s="94">
        <f>SUM(S3:S11)</f>
        <v>6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1711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3.68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1712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0.46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1713</v>
      </c>
      <c r="B18" s="357">
        <v>1</v>
      </c>
      <c r="C18" s="358"/>
      <c r="L18" s="282"/>
      <c r="T18" s="282"/>
      <c r="V18" s="107" t="s">
        <v>1526</v>
      </c>
      <c r="W18" s="107">
        <f>W17*1.15</f>
        <v>0.52900000000000003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1714</v>
      </c>
      <c r="B19" s="357">
        <v>2</v>
      </c>
      <c r="C19" s="358"/>
      <c r="L19" s="282"/>
      <c r="T19" s="282"/>
    </row>
    <row r="20" spans="1:40" x14ac:dyDescent="0.25">
      <c r="A20" s="338" t="s">
        <v>1715</v>
      </c>
      <c r="B20" s="357">
        <v>3</v>
      </c>
      <c r="C20" s="358"/>
      <c r="L20" s="282"/>
      <c r="T20" s="282"/>
    </row>
    <row r="21" spans="1:40" x14ac:dyDescent="0.25">
      <c r="A21" s="338" t="s">
        <v>1716</v>
      </c>
      <c r="B21" s="357"/>
      <c r="C21" s="358"/>
    </row>
    <row r="22" spans="1:40" x14ac:dyDescent="0.25">
      <c r="A22" s="338" t="s">
        <v>1716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1717</v>
      </c>
      <c r="B24" s="361" t="s">
        <v>1718</v>
      </c>
      <c r="C24" s="361" t="s">
        <v>1719</v>
      </c>
    </row>
    <row r="25" spans="1:40" x14ac:dyDescent="0.25">
      <c r="A25" s="338" t="s">
        <v>1720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69</v>
      </c>
      <c r="C25" s="362">
        <f>B25*$B$6</f>
        <v>69</v>
      </c>
    </row>
    <row r="26" spans="1:40" x14ac:dyDescent="0.25">
      <c r="A26" s="338" t="s">
        <v>1721</v>
      </c>
      <c r="B26" s="357">
        <f>IF(OR($C$49="",$B$6=""),"",ROUND(($C$49/$B$6)-(2*$B$18),3))</f>
        <v>427.2</v>
      </c>
      <c r="C26" s="362">
        <f>B26</f>
        <v>427.2</v>
      </c>
    </row>
    <row r="27" spans="1:40" x14ac:dyDescent="0.25">
      <c r="A27" s="338" t="s">
        <v>1722</v>
      </c>
      <c r="B27" s="357">
        <f>$C$46</f>
        <v>40.794029850746263</v>
      </c>
      <c r="C27" s="362">
        <f>B27</f>
        <v>40.794029850746263</v>
      </c>
    </row>
    <row r="28" spans="1:40" x14ac:dyDescent="0.25">
      <c r="A28" s="338" t="s">
        <v>1723</v>
      </c>
      <c r="B28" s="363">
        <f>$C$47</f>
        <v>40.794029850746263</v>
      </c>
      <c r="C28" s="382">
        <f>B28</f>
        <v>40.794029850746263</v>
      </c>
    </row>
    <row r="29" spans="1:40" x14ac:dyDescent="0.25">
      <c r="A29" s="338" t="s">
        <v>1724</v>
      </c>
      <c r="B29" s="364">
        <f>ROUND($C$48,10)</f>
        <v>20.5</v>
      </c>
      <c r="C29" s="365">
        <f>B29</f>
        <v>20.5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1725</v>
      </c>
      <c r="B30" s="357">
        <f>IF($B$19="","",$B$19)</f>
        <v>2</v>
      </c>
      <c r="C30" s="362">
        <f>IF(B30="","",B30*$B$6)</f>
        <v>2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1726</v>
      </c>
      <c r="B31" s="363">
        <f>$C$50</f>
        <v>2784.2</v>
      </c>
      <c r="C31" s="366">
        <f>B31</f>
        <v>2784.2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1727</v>
      </c>
      <c r="B32" s="357">
        <f>IF($B$6=1,$C$53,"")</f>
        <v>2</v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1728</v>
      </c>
      <c r="B33" s="357">
        <f>IF($B$6=1,$C$51,"")</f>
        <v>2835</v>
      </c>
      <c r="C33" s="362">
        <f>$C$51</f>
        <v>2835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1729</v>
      </c>
      <c r="B34" s="357">
        <f>IF($B$6=1,$C$54,"")</f>
        <v>2</v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1730</v>
      </c>
      <c r="B35" s="357">
        <f>IF($B$6=1,$C$52,"")</f>
        <v>429.2</v>
      </c>
      <c r="C35" s="362">
        <f>$C$52</f>
        <v>429.2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1731</v>
      </c>
      <c r="B36" s="357">
        <f>IF($B$6=1,$C$55,"")</f>
        <v>0</v>
      </c>
      <c r="C36" s="362">
        <f>$C$55</f>
        <v>0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1732</v>
      </c>
      <c r="B37" s="357">
        <f>IF($B$6=1,$C$56,"")</f>
        <v>2784.2</v>
      </c>
      <c r="C37" s="362">
        <f>$C$56</f>
        <v>2784.2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1733</v>
      </c>
      <c r="B38" s="357">
        <f>IF(OR($B$3="",$B$6="",$C$57=""),"",ROUND($C$57/($B$3*$B$6),3))</f>
        <v>5</v>
      </c>
      <c r="C38" s="362">
        <f>$C$57</f>
        <v>5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1734</v>
      </c>
      <c r="B39" s="357">
        <f>IF(OR($B$3="",$B$6="",$C$58=""),"",ROUND($C$58/($B$3*$B$6),3))</f>
        <v>1</v>
      </c>
      <c r="C39" s="362">
        <f>$C$58</f>
        <v>1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1735</v>
      </c>
      <c r="B40" s="357">
        <f>IF(OR($B$3="",$B$6="",$C$61=""),"",ROUND($C$61/($B$3*$B$6),3))</f>
        <v>2</v>
      </c>
      <c r="C40" s="362">
        <f>$C$61</f>
        <v>2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1716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1716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1716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1736</v>
      </c>
      <c r="B45" s="356" t="s">
        <v>423</v>
      </c>
      <c r="C45" s="356" t="s">
        <v>1737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1738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40.794029850746263</v>
      </c>
    </row>
    <row r="47" spans="1:33" x14ac:dyDescent="0.25">
      <c r="A47" s="338" t="s">
        <v>1739</v>
      </c>
      <c r="B47" s="367" t="str">
        <f t="shared" ca="1" si="8"/>
        <v>=IF(OR(TRIM($B$7)="",TRIM($B$8)=""),$C$46,$B$7)</v>
      </c>
      <c r="C47" s="337">
        <f>IF(OR(TRIM($B$7)="",TRIM($B$8)=""),$C$46,$B$7)</f>
        <v>40.794029850746263</v>
      </c>
    </row>
    <row r="48" spans="1:33" x14ac:dyDescent="0.25">
      <c r="A48" s="338" t="s">
        <v>1740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20.5</v>
      </c>
    </row>
    <row r="49" spans="1:3" x14ac:dyDescent="0.25">
      <c r="A49" s="338" t="s">
        <v>1741</v>
      </c>
      <c r="B49" s="367" t="str">
        <f t="shared" ca="1" si="8"/>
        <v>=IF(OR($B$4="",$B$16=""),"",ROUND($B$4-(2*$B$16),3))</v>
      </c>
      <c r="C49" s="337">
        <f>IF(OR($B$4="",$B$16=""),"",ROUND($B$4-(2*$B$16),3))</f>
        <v>429.2</v>
      </c>
    </row>
    <row r="50" spans="1:3" x14ac:dyDescent="0.25">
      <c r="A50" s="368" t="s">
        <v>1742</v>
      </c>
      <c r="B50" s="367" t="str">
        <f t="shared" ca="1" si="8"/>
        <v>=IF(OR($B$5="",$B$15=""),"",ROUND($B$5-(2*$B$15),3))</v>
      </c>
      <c r="C50" s="337">
        <f>IF(OR($B$5="",$B$15=""),"",ROUND($B$5-(2*$B$15),3))</f>
        <v>2784.2</v>
      </c>
    </row>
    <row r="51" spans="1:3" x14ac:dyDescent="0.25">
      <c r="A51" s="338" t="s">
        <v>1743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2835</v>
      </c>
    </row>
    <row r="52" spans="1:3" x14ac:dyDescent="0.25">
      <c r="A52" s="338" t="s">
        <v>1744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429.2</v>
      </c>
    </row>
    <row r="53" spans="1:3" x14ac:dyDescent="0.25">
      <c r="A53" s="338" t="s">
        <v>1745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1746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1747</v>
      </c>
      <c r="B55" s="367" t="str">
        <f t="shared" ca="1" si="8"/>
        <v>=MAX($B$6-1,0)</v>
      </c>
      <c r="C55" s="337">
        <f>MAX($B$6-1,0)</f>
        <v>0</v>
      </c>
    </row>
    <row r="56" spans="1:3" x14ac:dyDescent="0.25">
      <c r="A56" s="338" t="s">
        <v>1748</v>
      </c>
      <c r="B56" s="367" t="str">
        <f t="shared" ca="1" si="8"/>
        <v>=$C$50</v>
      </c>
      <c r="C56" s="337">
        <f>$C$50</f>
        <v>2784.2</v>
      </c>
    </row>
    <row r="57" spans="1:3" x14ac:dyDescent="0.25">
      <c r="A57" s="338" t="s">
        <v>1749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5</v>
      </c>
    </row>
    <row r="58" spans="1:3" ht="15" customHeight="1" x14ac:dyDescent="0.25">
      <c r="A58" s="338" t="s">
        <v>1750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1</v>
      </c>
    </row>
    <row r="59" spans="1:3" ht="15" customHeight="1" x14ac:dyDescent="0.25">
      <c r="A59" s="338" t="s">
        <v>1751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2</v>
      </c>
    </row>
    <row r="60" spans="1:3" x14ac:dyDescent="0.25">
      <c r="A60" s="338" t="s">
        <v>1752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0</v>
      </c>
    </row>
    <row r="61" spans="1:3" x14ac:dyDescent="0.25">
      <c r="A61" s="338" t="s">
        <v>1735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2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53" t="s">
        <v>1533</v>
      </c>
      <c r="B1" s="439"/>
      <c r="C1" s="439"/>
      <c r="D1" s="439"/>
      <c r="E1" s="439"/>
      <c r="F1" s="439"/>
      <c r="G1" s="439"/>
      <c r="H1" s="439"/>
      <c r="I1" s="439"/>
      <c r="K1" s="454" t="s">
        <v>1534</v>
      </c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455"/>
      <c r="AA1" s="455"/>
      <c r="AB1" s="455"/>
      <c r="AC1" s="455"/>
      <c r="AD1" s="455"/>
      <c r="AG1" s="286" t="s">
        <v>1538</v>
      </c>
      <c r="BC1" s="1"/>
    </row>
    <row r="2" spans="1:55" ht="15" customHeight="1" x14ac:dyDescent="0.25">
      <c r="A2" s="456" t="s">
        <v>1535</v>
      </c>
      <c r="B2" s="439"/>
      <c r="C2" s="439"/>
      <c r="D2" s="439"/>
      <c r="E2" s="439"/>
      <c r="F2" s="439"/>
      <c r="G2" s="439"/>
      <c r="H2" s="439"/>
      <c r="I2" s="439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8" t="s">
        <v>1536</v>
      </c>
      <c r="B4" s="448"/>
      <c r="C4" s="303"/>
      <c r="D4" s="181"/>
      <c r="E4" s="448" t="s">
        <v>1537</v>
      </c>
      <c r="F4" s="449"/>
      <c r="G4" s="449"/>
      <c r="H4" s="449"/>
      <c r="I4" s="449"/>
      <c r="J4" s="37" t="s">
        <v>1785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1786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1787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1788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8" t="s">
        <v>1578</v>
      </c>
      <c r="F9" s="449"/>
      <c r="G9" s="449"/>
      <c r="H9" s="449"/>
      <c r="I9" s="449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50" t="s">
        <v>1587</v>
      </c>
      <c r="B15" s="451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1789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1785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1786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1787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1788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50" t="s">
        <v>1594</v>
      </c>
      <c r="B26" s="451"/>
      <c r="C26" s="452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57" t="s">
        <v>1633</v>
      </c>
      <c r="B1" s="439"/>
      <c r="C1" s="439"/>
      <c r="D1" s="439"/>
      <c r="E1" s="439"/>
      <c r="F1" s="439"/>
      <c r="G1" s="439"/>
      <c r="H1" s="439"/>
      <c r="I1" s="439"/>
    </row>
    <row r="2" spans="1:9" ht="15" customHeight="1" x14ac:dyDescent="0.25"/>
    <row r="3" spans="1:9" ht="15" customHeight="1" x14ac:dyDescent="0.25">
      <c r="A3" s="458" t="s">
        <v>1634</v>
      </c>
      <c r="B3" s="459"/>
      <c r="C3" s="459"/>
      <c r="E3" s="458" t="s">
        <v>1537</v>
      </c>
      <c r="F3" s="459"/>
      <c r="G3" s="459"/>
      <c r="H3" s="459"/>
      <c r="I3" s="459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8" t="s">
        <v>1578</v>
      </c>
      <c r="F9" s="459"/>
      <c r="G9" s="459"/>
      <c r="H9" s="459"/>
      <c r="I9" s="459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40" t="s">
        <v>1587</v>
      </c>
      <c r="B18" s="439"/>
      <c r="C18" s="439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40" t="s">
        <v>1594</v>
      </c>
      <c r="B31" s="439"/>
      <c r="C31" s="439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2026-04-17T17:58:06Z</dcterms:modified>
</cp:coreProperties>
</file>